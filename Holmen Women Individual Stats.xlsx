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est Pins" sheetId="1" r:id="rId5"/>
    <sheet state="visible" name="Career Leaders" sheetId="2" r:id="rId6"/>
    <sheet state="visible" name="Single Season Leaders" sheetId="3" r:id="rId7"/>
    <sheet state="visible" name="Career Stat Totals" sheetId="4" r:id="rId8"/>
    <sheet state="visible" name="Every Individual Season" sheetId="5" r:id="rId9"/>
    <sheet state="visible" name="Season Top Fives" sheetId="6" r:id="rId10"/>
    <sheet state="visible" name="Senior Stats" sheetId="7" r:id="rId11"/>
    <sheet state="visible" name="The 12 Days of Christmas" sheetId="8" r:id="rId12"/>
    <sheet state="visible" name="2025-26" sheetId="9" r:id="rId13"/>
    <sheet state="visible" name="2024-25" sheetId="10" r:id="rId14"/>
    <sheet state="visible" name="2023-24" sheetId="11" r:id="rId15"/>
    <sheet state="visible" name=" 2022-23" sheetId="12" r:id="rId16"/>
    <sheet state="visible" name="2021-22" sheetId="13" r:id="rId17"/>
    <sheet state="visible" name="2020-21" sheetId="14" r:id="rId18"/>
    <sheet state="visible" name="2019-20" sheetId="15" r:id="rId19"/>
    <sheet state="visible" name="2018-19" sheetId="16" r:id="rId20"/>
  </sheets>
  <definedNames>
    <definedName hidden="1" localSheetId="3" name="Z_80C5BE8B_E8F7_4791_B446_34F9FB010BD0_.wvu.FilterData">'Career Stat Totals'!$A$1:$AL$80</definedName>
    <definedName hidden="1" localSheetId="4" name="Z_80C5BE8B_E8F7_4791_B446_34F9FB010BD0_.wvu.FilterData">'Every Individual Season'!$A$1:$AK$130</definedName>
    <definedName hidden="1" localSheetId="6" name="Z_80C5BE8B_E8F7_4791_B446_34F9FB010BD0_.wvu.FilterData">'Senior Stats'!$A$1:$AF$44</definedName>
  </definedNames>
  <calcPr/>
  <customWorkbookViews>
    <customWorkbookView activeSheetId="0" maximized="1" windowHeight="0" windowWidth="0" guid="{80C5BE8B-E8F7-4791-B446-34F9FB010BD0}" name="Filter 1"/>
  </customWorkbookViews>
</workbook>
</file>

<file path=xl/sharedStrings.xml><?xml version="1.0" encoding="utf-8"?>
<sst xmlns="http://schemas.openxmlformats.org/spreadsheetml/2006/main" count="1790" uniqueCount="223">
  <si>
    <t>Rank</t>
  </si>
  <si>
    <t>Year</t>
  </si>
  <si>
    <t>Name</t>
  </si>
  <si>
    <t>Pin Time (seconds)</t>
  </si>
  <si>
    <t>Kaytlynn Lambries</t>
  </si>
  <si>
    <t>Maddie Hall</t>
  </si>
  <si>
    <t>Aini Anderson</t>
  </si>
  <si>
    <t>Haley Dezelske</t>
  </si>
  <si>
    <t>Carissa Ceresa</t>
  </si>
  <si>
    <t>Keionna Noel</t>
  </si>
  <si>
    <t>Aubrey Hauser</t>
  </si>
  <si>
    <t>Celia Drogseth</t>
  </si>
  <si>
    <t>Nora Lee</t>
  </si>
  <si>
    <t>Ruby Gustafson</t>
  </si>
  <si>
    <t>Emily Szak</t>
  </si>
  <si>
    <t>Evelyn Vetsch</t>
  </si>
  <si>
    <t>Alexa Szak</t>
  </si>
  <si>
    <t>Sophia Walter</t>
  </si>
  <si>
    <t>Maddie Eggerichs</t>
  </si>
  <si>
    <t>Olive Bergman</t>
  </si>
  <si>
    <t>Lexi Schauf</t>
  </si>
  <si>
    <t>Lynzi Nuemann</t>
  </si>
  <si>
    <t>Alice Blackdeer</t>
  </si>
  <si>
    <t>Kassandra Mueller</t>
  </si>
  <si>
    <t>Kayleen Bazan</t>
  </si>
  <si>
    <t>Josye Olson</t>
  </si>
  <si>
    <t>Bella Xiong</t>
  </si>
  <si>
    <t>Lynsey Anderson</t>
  </si>
  <si>
    <t>Avalee Euler</t>
  </si>
  <si>
    <t>Peyton Kratochvill</t>
  </si>
  <si>
    <t>Ellie Adam</t>
  </si>
  <si>
    <t>Kassidy Ochs</t>
  </si>
  <si>
    <t>Addie Goodell</t>
  </si>
  <si>
    <t>Starting from 2018-19</t>
  </si>
  <si>
    <t>Wins</t>
  </si>
  <si>
    <t>Seasons</t>
  </si>
  <si>
    <t>2022-2025</t>
  </si>
  <si>
    <t>2025-26</t>
  </si>
  <si>
    <t>Allison Weiss</t>
  </si>
  <si>
    <t>2020-2023</t>
  </si>
  <si>
    <t>Win % (Min. 15 Matches)</t>
  </si>
  <si>
    <t>Win %</t>
  </si>
  <si>
    <t>2024-2025</t>
  </si>
  <si>
    <t>2023-2024</t>
  </si>
  <si>
    <t>Anna Strasser</t>
  </si>
  <si>
    <t>2022-2024</t>
  </si>
  <si>
    <t>Takedowns</t>
  </si>
  <si>
    <t>2024-2026</t>
  </si>
  <si>
    <t>Falls</t>
  </si>
  <si>
    <t>Tech Falls</t>
  </si>
  <si>
    <t>2024-25</t>
  </si>
  <si>
    <t>2021-22</t>
  </si>
  <si>
    <t>Team Points</t>
  </si>
  <si>
    <t xml:space="preserve"> Nearfall Points</t>
  </si>
  <si>
    <t>Nearfall Points</t>
  </si>
  <si>
    <t>2023-2025</t>
  </si>
  <si>
    <t>Season</t>
  </si>
  <si>
    <t>Evelyn Vetcsh</t>
  </si>
  <si>
    <t>2022-23</t>
  </si>
  <si>
    <t>2023-24</t>
  </si>
  <si>
    <t xml:space="preserve">Nearfall Points </t>
  </si>
  <si>
    <t>The first column under each category is for and the second column is against. Data is organized alphabetically and starts at the 2018-19 season. Years are listed based on the year the season ended.</t>
  </si>
  <si>
    <t>Grade</t>
  </si>
  <si>
    <t>Majors</t>
  </si>
  <si>
    <t>Escapes</t>
  </si>
  <si>
    <t>Reversals</t>
  </si>
  <si>
    <t>2-Nearfall</t>
  </si>
  <si>
    <t>3-Nearfall</t>
  </si>
  <si>
    <t>4-Nearfall</t>
  </si>
  <si>
    <t>5-Nearfall</t>
  </si>
  <si>
    <t>2N Points</t>
  </si>
  <si>
    <t>3N Points</t>
  </si>
  <si>
    <t>4N Points</t>
  </si>
  <si>
    <t>5N Points</t>
  </si>
  <si>
    <t>Total Nearfall Points</t>
  </si>
  <si>
    <t>Abby Molling</t>
  </si>
  <si>
    <t>2024, 2026</t>
  </si>
  <si>
    <t>9,11</t>
  </si>
  <si>
    <t>Abigail Bramwell</t>
  </si>
  <si>
    <t>2019-2021</t>
  </si>
  <si>
    <t>2022-2023</t>
  </si>
  <si>
    <t>Adriana Vang</t>
  </si>
  <si>
    <t>Alexis Maier</t>
  </si>
  <si>
    <t>2023, 2025</t>
  </si>
  <si>
    <t>Alexis Schauf</t>
  </si>
  <si>
    <t>2024-2024</t>
  </si>
  <si>
    <t>Amber Eddy</t>
  </si>
  <si>
    <t>Amelia LaFleur</t>
  </si>
  <si>
    <t>2019-2020</t>
  </si>
  <si>
    <t>Anatasia Lee</t>
  </si>
  <si>
    <t>Ava Kelemen</t>
  </si>
  <si>
    <t>2025-2026</t>
  </si>
  <si>
    <t>Avery Lehmann</t>
  </si>
  <si>
    <t>Bailee Gruenwald</t>
  </si>
  <si>
    <t>Birgitta Finn</t>
  </si>
  <si>
    <t>Camden Lindsey</t>
  </si>
  <si>
    <t>Camryn Lemke</t>
  </si>
  <si>
    <t>Claire Eade</t>
  </si>
  <si>
    <t>Elsie Hakala</t>
  </si>
  <si>
    <t>Ema Nedoba</t>
  </si>
  <si>
    <t>2020-2022</t>
  </si>
  <si>
    <t>Erin Bringe</t>
  </si>
  <si>
    <t>Faith Steinhoff</t>
  </si>
  <si>
    <t>Freya Finn</t>
  </si>
  <si>
    <t>Gabbie Hopkins</t>
  </si>
  <si>
    <t>Gwenny Burrows</t>
  </si>
  <si>
    <t>Hope Steinhoff</t>
  </si>
  <si>
    <t>Jaida Harshman</t>
  </si>
  <si>
    <t>Jasmine Gabbard</t>
  </si>
  <si>
    <t>Jazmyn Manske</t>
  </si>
  <si>
    <t>Jozie Collins</t>
  </si>
  <si>
    <t>Kacee Pietreck</t>
  </si>
  <si>
    <t>Kaina Westlie</t>
  </si>
  <si>
    <t>Kaitlyn Weiss</t>
  </si>
  <si>
    <t>Karis Dylhoff</t>
  </si>
  <si>
    <t>2019-2020, 2022</t>
  </si>
  <si>
    <t>9-10, 12</t>
  </si>
  <si>
    <t>Kayla Zabel</t>
  </si>
  <si>
    <t>Kaylee Mosser</t>
  </si>
  <si>
    <t>Kenzie Rothfahn</t>
  </si>
  <si>
    <t>Laynee Marson</t>
  </si>
  <si>
    <t>Lulia Maiocchi</t>
  </si>
  <si>
    <t>Lynzi Neumann</t>
  </si>
  <si>
    <t>Maddie Korish</t>
  </si>
  <si>
    <t>Madeline Pierce</t>
  </si>
  <si>
    <t>Mallorie Schams</t>
  </si>
  <si>
    <t>2020-2021</t>
  </si>
  <si>
    <t>Mallory Kemper</t>
  </si>
  <si>
    <t>Mara Friesen</t>
  </si>
  <si>
    <t>Marci Jacobsson</t>
  </si>
  <si>
    <t>Megan Zittlow</t>
  </si>
  <si>
    <t>Meredith Korish</t>
  </si>
  <si>
    <t>Molly Towner</t>
  </si>
  <si>
    <t>Mykalia Olson</t>
  </si>
  <si>
    <t>Nat Johnson</t>
  </si>
  <si>
    <t>Natalie Markos</t>
  </si>
  <si>
    <t>Pazong Xiong</t>
  </si>
  <si>
    <t>Riley Inglett</t>
  </si>
  <si>
    <t>River Klingbeil</t>
  </si>
  <si>
    <t>Ruby Gustafosn</t>
  </si>
  <si>
    <t>The first column under each category is for and the second column is against. Rows are organized by year and then alphabetically. Data starts at the 2018-19 season.</t>
  </si>
  <si>
    <t xml:space="preserve"> Amelia LaFleur</t>
  </si>
  <si>
    <t>2018-19</t>
  </si>
  <si>
    <t>2019-20</t>
  </si>
  <si>
    <t>2020-21</t>
  </si>
  <si>
    <t>z</t>
  </si>
  <si>
    <t>Haley Hopkins</t>
  </si>
  <si>
    <t>Olivia Nedoba</t>
  </si>
  <si>
    <t>Peyton Kraotchvill</t>
  </si>
  <si>
    <t>Points</t>
  </si>
  <si>
    <t>Point</t>
  </si>
  <si>
    <t>Bella Xiong - Class of 2023</t>
  </si>
  <si>
    <t>Totals</t>
  </si>
  <si>
    <t>Evelyn Vetsch - Class of 2023</t>
  </si>
  <si>
    <t>Joyse Olson - Class of 2023</t>
  </si>
  <si>
    <t>Nora Lee - Class of 2023</t>
  </si>
  <si>
    <t>Alice Blackdeer - Class of 2024</t>
  </si>
  <si>
    <t>Maddie Hall - Class of 2024</t>
  </si>
  <si>
    <t>Nat Johnson - Class of 2024</t>
  </si>
  <si>
    <t>Alexa Szak - Class of 2025</t>
  </si>
  <si>
    <t>Alexis Maier - Class of 2025</t>
  </si>
  <si>
    <t>Allison Weiss - Class of 2025</t>
  </si>
  <si>
    <t>Anna Strasser - Class of 2025</t>
  </si>
  <si>
    <t>Carissa Ceresa - Class of 2025</t>
  </si>
  <si>
    <t>Haley Dezelske - Class of 2025</t>
  </si>
  <si>
    <t>Jozie Collins - Class of 2025</t>
  </si>
  <si>
    <t>Keionna Noel - Class of 2025</t>
  </si>
  <si>
    <t>Maddie Eggerichs - Class of 2025</t>
  </si>
  <si>
    <t>Natalie Markos - Class of 2025</t>
  </si>
  <si>
    <t>Peyton Kratochvill - Class of 2026</t>
  </si>
  <si>
    <t>Sophia Walter - Class of 2026</t>
  </si>
  <si>
    <t>Overall Leaderboard</t>
  </si>
  <si>
    <t>2024-2025 Top Three</t>
  </si>
  <si>
    <t>Every year around Christmas time, we do a "12 Days of Christmas" Workout</t>
  </si>
  <si>
    <t>Time</t>
  </si>
  <si>
    <t>The workout is similar to the song "The 12 Days of Christmas"</t>
  </si>
  <si>
    <t>23:41</t>
  </si>
  <si>
    <t>31:30</t>
  </si>
  <si>
    <t>1 Run</t>
  </si>
  <si>
    <t>25:15</t>
  </si>
  <si>
    <t>33:30</t>
  </si>
  <si>
    <t>2 Dummy Throws, 1 Sprint</t>
  </si>
  <si>
    <t>25:49</t>
  </si>
  <si>
    <t>33:32</t>
  </si>
  <si>
    <t>3 Back Pedals, 2 Dummy Throws, 1 Sprint</t>
  </si>
  <si>
    <t>27:04</t>
  </si>
  <si>
    <t>4 Wall walks, 3 Back Pedals, 2 Dummy Throws, 1 Sprint</t>
  </si>
  <si>
    <t>30:24</t>
  </si>
  <si>
    <t>2025-2026 Top Three</t>
  </si>
  <si>
    <t>5 Ball circles, 4 Wall walks, 3 Back Pedals</t>
  </si>
  <si>
    <t>1</t>
  </si>
  <si>
    <t>Run to the drinking fountain at the far end of the room and back</t>
  </si>
  <si>
    <t>32:04</t>
  </si>
  <si>
    <t>2</t>
  </si>
  <si>
    <t>Dummy Headlocks</t>
  </si>
  <si>
    <t>3</t>
  </si>
  <si>
    <t>Back pedal (3 mat lengths)</t>
  </si>
  <si>
    <t>34:25</t>
  </si>
  <si>
    <t>4</t>
  </si>
  <si>
    <t>Box jumps</t>
  </si>
  <si>
    <t>5</t>
  </si>
  <si>
    <t>Overhead bag circles (5 each side for 10 total)</t>
  </si>
  <si>
    <t>6</t>
  </si>
  <si>
    <t>Sprawls and circle up</t>
  </si>
  <si>
    <t>7</t>
  </si>
  <si>
    <t>Sit Stands</t>
  </si>
  <si>
    <t>8</t>
  </si>
  <si>
    <t>Burpees (Chest to ground and jump at the top)</t>
  </si>
  <si>
    <t>9</t>
  </si>
  <si>
    <t>Russian Twists (9 each direction for 18 total)</t>
  </si>
  <si>
    <t>10</t>
  </si>
  <si>
    <t>Bag Slams</t>
  </si>
  <si>
    <t>11</t>
  </si>
  <si>
    <t>Frog Jumps (as far as you can)</t>
  </si>
  <si>
    <t>12</t>
  </si>
  <si>
    <t>Rope Pulls (1 full loop = one rep)</t>
  </si>
  <si>
    <t>The first column under each category is for and the second column is against.</t>
  </si>
  <si>
    <t xml:space="preserve"> 3-Nearfall</t>
  </si>
  <si>
    <t>Losses</t>
  </si>
  <si>
    <t>Joyse Olson</t>
  </si>
  <si>
    <t>Mere Korish</t>
  </si>
  <si>
    <t>Total Neafall Points</t>
  </si>
  <si>
    <t xml:space="preserve">Hope Steinhoff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</si>
</sst>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6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sz val="10.0"/>
      <color rgb="FF000000"/>
      <name val="Times New Roman"/>
    </font>
    <font>
      <b/>
      <sz val="10.0"/>
      <color rgb="FF000000"/>
      <name val="Times New Roman"/>
    </font>
    <font/>
    <font>
      <sz val="10.0"/>
      <color rgb="FFFF00FF"/>
      <name val="Times New Roman"/>
    </font>
    <font>
      <color rgb="FF000000"/>
      <name val="Times New Roman"/>
    </font>
    <font>
      <color rgb="FFFF00FF"/>
      <name val="Times New Roman"/>
    </font>
    <font>
      <sz val="10.0"/>
      <color rgb="FF1F1F1F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  <font>
      <b/>
      <sz val="10.0"/>
      <color rgb="FF1F1F1F"/>
      <name val="Times New Roman"/>
    </font>
    <font>
      <color theme="1"/>
      <name val="Arial"/>
    </font>
    <font>
      <b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 shrinkToFit="0" wrapText="1"/>
    </xf>
    <xf borderId="2" fillId="4" fontId="4" numFmtId="0" xfId="0" applyAlignment="1" applyBorder="1" applyFill="1" applyFont="1">
      <alignment horizontal="center"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2" fontId="4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/>
    </xf>
    <xf borderId="1" fillId="5" fontId="6" numFmtId="0" xfId="0" applyAlignment="1" applyBorder="1" applyFill="1" applyFont="1">
      <alignment horizontal="center" readingOrder="0" shrinkToFit="0" wrapText="1"/>
    </xf>
    <xf borderId="1" fillId="5" fontId="6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2" fillId="4" fontId="4" numFmtId="0" xfId="0" applyAlignment="1" applyBorder="1" applyFont="1">
      <alignment horizontal="center" readingOrder="0"/>
    </xf>
    <xf borderId="3" fillId="3" fontId="5" numFmtId="0" xfId="0" applyBorder="1" applyFont="1"/>
    <xf borderId="4" fillId="3" fontId="5" numFmtId="0" xfId="0" applyBorder="1" applyFont="1"/>
    <xf borderId="1" fillId="2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1" fillId="3" fontId="3" numFmtId="2" xfId="0" applyAlignment="1" applyBorder="1" applyFont="1" applyNumberFormat="1">
      <alignment horizontal="center" readingOrder="0" vertical="bottom"/>
    </xf>
    <xf borderId="1" fillId="5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vertical="bottom"/>
    </xf>
    <xf borderId="1" fillId="5" fontId="3" numFmtId="2" xfId="0" applyAlignment="1" applyBorder="1" applyFont="1" applyNumberFormat="1">
      <alignment horizontal="center" readingOrder="0" vertical="bottom"/>
    </xf>
    <xf borderId="1" fillId="5" fontId="3" numFmtId="0" xfId="0" applyAlignment="1" applyBorder="1" applyFon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3" fontId="6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/>
    </xf>
    <xf borderId="3" fillId="5" fontId="5" numFmtId="0" xfId="0" applyBorder="1" applyFont="1"/>
    <xf borderId="2" fillId="2" fontId="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1" fillId="3" fontId="6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3" fontId="3" numFmtId="2" xfId="0" applyAlignment="1" applyBorder="1" applyFont="1" applyNumberFormat="1">
      <alignment horizontal="center" readingOrder="0"/>
    </xf>
    <xf borderId="1" fillId="5" fontId="3" numFmtId="2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shrinkToFit="0" wrapText="1"/>
    </xf>
    <xf borderId="1" fillId="3" fontId="6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/>
    </xf>
    <xf borderId="1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/>
    </xf>
    <xf borderId="2" fillId="5" fontId="9" numFmtId="0" xfId="0" applyAlignment="1" applyBorder="1" applyFont="1">
      <alignment horizontal="left" readingOrder="0" vertical="bottom"/>
    </xf>
    <xf borderId="1" fillId="2" fontId="10" numFmtId="0" xfId="0" applyAlignment="1" applyBorder="1" applyFont="1">
      <alignment horizontal="center" vertical="bottom"/>
    </xf>
    <xf borderId="1" fillId="2" fontId="10" numFmtId="0" xfId="0" applyAlignment="1" applyBorder="1" applyFont="1">
      <alignment horizontal="center" readingOrder="0" vertical="bottom"/>
    </xf>
    <xf borderId="2" fillId="2" fontId="10" numFmtId="0" xfId="0" applyAlignment="1" applyBorder="1" applyFont="1">
      <alignment horizontal="center" vertical="bottom"/>
    </xf>
    <xf borderId="4" fillId="5" fontId="5" numFmtId="0" xfId="0" applyBorder="1" applyFont="1"/>
    <xf borderId="1" fillId="2" fontId="11" numFmtId="0" xfId="0" applyAlignment="1" applyBorder="1" applyFont="1">
      <alignment horizontal="center" vertical="bottom"/>
    </xf>
    <xf borderId="1" fillId="2" fontId="10" numFmtId="4" xfId="0" applyAlignment="1" applyBorder="1" applyFont="1" applyNumberFormat="1">
      <alignment horizontal="center" vertical="bottom"/>
    </xf>
    <xf borderId="2" fillId="2" fontId="10" numFmtId="0" xfId="0" applyAlignment="1" applyBorder="1" applyFont="1">
      <alignment horizontal="center" vertical="bottom"/>
    </xf>
    <xf borderId="2" fillId="2" fontId="10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readingOrder="0"/>
    </xf>
    <xf borderId="6" fillId="3" fontId="11" numFmtId="0" xfId="0" applyAlignment="1" applyBorder="1" applyFont="1">
      <alignment horizontal="center" readingOrder="0"/>
    </xf>
    <xf borderId="6" fillId="3" fontId="3" numFmtId="0" xfId="0" applyAlignment="1" applyBorder="1" applyFont="1">
      <alignment horizontal="center"/>
    </xf>
    <xf borderId="6" fillId="3" fontId="3" numFmtId="2" xfId="0" applyAlignment="1" applyBorder="1" applyFont="1" applyNumberFormat="1">
      <alignment horizontal="center"/>
    </xf>
    <xf borderId="6" fillId="3" fontId="3" numFmtId="2" xfId="0" applyAlignment="1" applyBorder="1" applyFont="1" applyNumberFormat="1">
      <alignment horizontal="center" readingOrder="0"/>
    </xf>
    <xf borderId="1" fillId="3" fontId="11" numFmtId="0" xfId="0" applyAlignment="1" applyBorder="1" applyFont="1">
      <alignment horizontal="center"/>
    </xf>
    <xf borderId="6" fillId="5" fontId="11" numFmtId="0" xfId="0" applyAlignment="1" applyBorder="1" applyFont="1">
      <alignment horizontal="center" readingOrder="0"/>
    </xf>
    <xf borderId="6" fillId="5" fontId="11" numFmtId="164" xfId="0" applyAlignment="1" applyBorder="1" applyFont="1" applyNumberFormat="1">
      <alignment horizontal="center" readingOrder="0"/>
    </xf>
    <xf borderId="6" fillId="5" fontId="11" numFmtId="4" xfId="0" applyAlignment="1" applyBorder="1" applyFont="1" applyNumberFormat="1">
      <alignment horizontal="center" readingOrder="0"/>
    </xf>
    <xf borderId="1" fillId="5" fontId="11" numFmtId="0" xfId="0" applyAlignment="1" applyBorder="1" applyFont="1">
      <alignment horizontal="center" readingOrder="0"/>
    </xf>
    <xf borderId="6" fillId="5" fontId="3" numFmtId="0" xfId="0" applyAlignment="1" applyBorder="1" applyFont="1">
      <alignment horizontal="center" readingOrder="0"/>
    </xf>
    <xf borderId="1" fillId="5" fontId="11" numFmtId="0" xfId="0" applyAlignment="1" applyBorder="1" applyFont="1">
      <alignment horizontal="center"/>
    </xf>
    <xf borderId="6" fillId="3" fontId="3" numFmtId="164" xfId="0" applyAlignment="1" applyBorder="1" applyFont="1" applyNumberFormat="1">
      <alignment horizontal="center" readingOrder="0"/>
    </xf>
    <xf borderId="6" fillId="3" fontId="3" numFmtId="4" xfId="0" applyAlignment="1" applyBorder="1" applyFont="1" applyNumberFormat="1">
      <alignment horizontal="center" readingOrder="0"/>
    </xf>
    <xf borderId="1" fillId="3" fontId="11" numFmtId="0" xfId="0" applyAlignment="1" applyBorder="1" applyFont="1">
      <alignment horizontal="center"/>
    </xf>
    <xf borderId="1" fillId="3" fontId="11" numFmtId="0" xfId="0" applyAlignment="1" applyBorder="1" applyFont="1">
      <alignment horizontal="center" readingOrder="0"/>
    </xf>
    <xf borderId="1" fillId="5" fontId="3" numFmtId="4" xfId="0" applyAlignment="1" applyBorder="1" applyFont="1" applyNumberFormat="1">
      <alignment horizontal="center" readingOrder="0"/>
    </xf>
    <xf borderId="1" fillId="3" fontId="3" numFmtId="164" xfId="0" applyAlignment="1" applyBorder="1" applyFont="1" applyNumberFormat="1">
      <alignment horizontal="center" readingOrder="0"/>
    </xf>
    <xf borderId="1" fillId="3" fontId="11" numFmtId="2" xfId="0" applyAlignment="1" applyBorder="1" applyFont="1" applyNumberFormat="1">
      <alignment horizontal="center" vertical="bottom"/>
    </xf>
    <xf borderId="0" fillId="3" fontId="11" numFmtId="0" xfId="0" applyAlignment="1" applyFont="1">
      <alignment horizontal="center" readingOrder="0"/>
    </xf>
    <xf borderId="1" fillId="5" fontId="3" numFmtId="164" xfId="0" applyAlignment="1" applyBorder="1" applyFont="1" applyNumberFormat="1">
      <alignment horizontal="center" readingOrder="0"/>
    </xf>
    <xf borderId="1" fillId="5" fontId="11" numFmtId="4" xfId="0" applyAlignment="1" applyBorder="1" applyFont="1" applyNumberFormat="1">
      <alignment horizontal="center" readingOrder="0"/>
    </xf>
    <xf borderId="1" fillId="5" fontId="3" numFmtId="4" xfId="0" applyAlignment="1" applyBorder="1" applyFont="1" applyNumberFormat="1">
      <alignment horizontal="center"/>
    </xf>
    <xf borderId="1" fillId="3" fontId="11" numFmtId="4" xfId="0" applyAlignment="1" applyBorder="1" applyFont="1" applyNumberFormat="1">
      <alignment horizontal="center" readingOrder="0"/>
    </xf>
    <xf borderId="1" fillId="3" fontId="3" numFmtId="4" xfId="0" applyAlignment="1" applyBorder="1" applyFont="1" applyNumberFormat="1">
      <alignment horizontal="center" readingOrder="0"/>
    </xf>
    <xf borderId="1" fillId="5" fontId="3" numFmtId="2" xfId="0" applyAlignment="1" applyBorder="1" applyFont="1" applyNumberFormat="1">
      <alignment horizontal="center"/>
    </xf>
    <xf borderId="1" fillId="3" fontId="11" numFmtId="164" xfId="0" applyAlignment="1" applyBorder="1" applyFont="1" applyNumberFormat="1">
      <alignment horizontal="center" readingOrder="0"/>
    </xf>
    <xf borderId="1" fillId="3" fontId="11" numFmtId="2" xfId="0" applyAlignment="1" applyBorder="1" applyFont="1" applyNumberFormat="1">
      <alignment horizontal="center"/>
    </xf>
    <xf borderId="1" fillId="5" fontId="11" numFmtId="2" xfId="0" applyAlignment="1" applyBorder="1" applyFont="1" applyNumberFormat="1">
      <alignment horizontal="center" readingOrder="0"/>
    </xf>
    <xf borderId="1" fillId="5" fontId="11" numFmtId="164" xfId="0" applyAlignment="1" applyBorder="1" applyFont="1" applyNumberFormat="1">
      <alignment horizontal="center" readingOrder="0"/>
    </xf>
    <xf borderId="1" fillId="3" fontId="3" numFmtId="2" xfId="0" applyAlignment="1" applyBorder="1" applyFont="1" applyNumberFormat="1">
      <alignment horizontal="center"/>
    </xf>
    <xf borderId="6" fillId="5" fontId="3" numFmtId="0" xfId="0" applyAlignment="1" applyBorder="1" applyFont="1">
      <alignment horizontal="center"/>
    </xf>
    <xf borderId="1" fillId="5" fontId="11" numFmtId="0" xfId="0" applyAlignment="1" applyBorder="1" applyFont="1">
      <alignment horizontal="center"/>
    </xf>
    <xf borderId="1" fillId="5" fontId="11" numFmtId="2" xfId="0" applyAlignment="1" applyBorder="1" applyFont="1" applyNumberFormat="1">
      <alignment horizontal="center"/>
    </xf>
    <xf borderId="7" fillId="5" fontId="9" numFmtId="0" xfId="0" applyAlignment="1" applyBorder="1" applyFont="1">
      <alignment horizontal="left" readingOrder="0" vertical="bottom"/>
    </xf>
    <xf borderId="7" fillId="0" fontId="5" numFmtId="0" xfId="0" applyBorder="1" applyFont="1"/>
    <xf borderId="0" fillId="5" fontId="9" numFmtId="0" xfId="0" applyAlignment="1" applyFont="1">
      <alignment horizontal="center" readingOrder="0" vertical="bottom"/>
    </xf>
    <xf borderId="1" fillId="3" fontId="12" numFmtId="0" xfId="0" applyAlignment="1" applyBorder="1" applyFont="1">
      <alignment horizontal="center"/>
    </xf>
    <xf borderId="1" fillId="3" fontId="11" numFmtId="0" xfId="0" applyAlignment="1" applyBorder="1" applyFont="1">
      <alignment horizontal="center" vertical="bottom"/>
    </xf>
    <xf borderId="1" fillId="3" fontId="10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horizontal="center"/>
    </xf>
    <xf borderId="1" fillId="5" fontId="11" numFmtId="0" xfId="0" applyAlignment="1" applyBorder="1" applyFont="1">
      <alignment horizontal="center" vertical="bottom"/>
    </xf>
    <xf borderId="1" fillId="5" fontId="11" numFmtId="2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 vertical="bottom"/>
    </xf>
    <xf borderId="1" fillId="5" fontId="10" numFmtId="0" xfId="0" applyAlignment="1" applyBorder="1" applyFont="1">
      <alignment horizontal="center" vertical="bottom"/>
    </xf>
    <xf borderId="1" fillId="5" fontId="11" numFmtId="0" xfId="0" applyAlignment="1" applyBorder="1" applyFont="1">
      <alignment horizontal="center" readingOrder="0" vertical="bottom"/>
    </xf>
    <xf borderId="0" fillId="5" fontId="4" numFmtId="0" xfId="0" applyAlignment="1" applyFont="1">
      <alignment horizontal="center" readingOrder="0" shrinkToFit="0" wrapText="1"/>
    </xf>
    <xf borderId="2" fillId="2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0" fillId="5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5" fontId="3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vertical="bottom" wrapText="1"/>
    </xf>
    <xf borderId="1" fillId="5" fontId="11" numFmtId="0" xfId="0" applyAlignment="1" applyBorder="1" applyFont="1">
      <alignment horizontal="center" readingOrder="0" shrinkToFit="0" vertical="bottom" wrapText="1"/>
    </xf>
    <xf borderId="1" fillId="5" fontId="4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center" readingOrder="0" shrinkToFit="0" wrapText="1"/>
    </xf>
    <xf borderId="1" fillId="5" fontId="11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5" fontId="11" numFmtId="0" xfId="0" applyAlignment="1" applyFont="1">
      <alignment horizontal="center" vertical="bottom"/>
    </xf>
    <xf borderId="1" fillId="3" fontId="11" numFmtId="0" xfId="0" applyAlignment="1" applyBorder="1" applyFont="1">
      <alignment horizontal="center" vertical="bottom"/>
    </xf>
    <xf borderId="7" fillId="4" fontId="13" numFmtId="0" xfId="0" applyAlignment="1" applyBorder="1" applyFont="1">
      <alignment horizontal="center" readingOrder="0" vertical="bottom"/>
    </xf>
    <xf borderId="8" fillId="4" fontId="13" numFmtId="0" xfId="0" applyAlignment="1" applyBorder="1" applyFont="1">
      <alignment horizontal="center" readingOrder="0" vertical="bottom"/>
    </xf>
    <xf borderId="6" fillId="2" fontId="10" numFmtId="0" xfId="0" applyAlignment="1" applyBorder="1" applyFont="1">
      <alignment horizontal="center" readingOrder="0"/>
    </xf>
    <xf borderId="9" fillId="2" fontId="10" numFmtId="0" xfId="0" applyAlignment="1" applyBorder="1" applyFont="1">
      <alignment horizontal="center" readingOrder="0"/>
    </xf>
    <xf borderId="10" fillId="5" fontId="5" numFmtId="0" xfId="0" applyBorder="1" applyFont="1"/>
    <xf borderId="6" fillId="2" fontId="10" numFmtId="4" xfId="0" applyAlignment="1" applyBorder="1" applyFont="1" applyNumberFormat="1">
      <alignment horizontal="center" readingOrder="0"/>
    </xf>
    <xf borderId="1" fillId="2" fontId="10" numFmtId="0" xfId="0" applyAlignment="1" applyBorder="1" applyFont="1">
      <alignment horizontal="center" readingOrder="0"/>
    </xf>
    <xf borderId="2" fillId="2" fontId="10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center"/>
    </xf>
    <xf borderId="1" fillId="2" fontId="10" numFmtId="4" xfId="0" applyAlignment="1" applyBorder="1" applyFont="1" applyNumberFormat="1">
      <alignment horizontal="center" readingOrder="0"/>
    </xf>
    <xf borderId="0" fillId="5" fontId="3" numFmtId="4" xfId="0" applyAlignment="1" applyFont="1" applyNumberFormat="1">
      <alignment horizontal="center" readingOrder="0"/>
    </xf>
    <xf borderId="0" fillId="5" fontId="11" numFmtId="0" xfId="0" applyAlignment="1" applyFont="1">
      <alignment horizontal="center"/>
    </xf>
    <xf borderId="3" fillId="4" fontId="4" numFmtId="0" xfId="0" applyAlignment="1" applyBorder="1" applyFont="1">
      <alignment horizontal="center" readingOrder="0"/>
    </xf>
    <xf borderId="11" fillId="4" fontId="4" numFmtId="0" xfId="0" applyAlignment="1" applyBorder="1" applyFont="1">
      <alignment horizontal="center" readingOrder="0"/>
    </xf>
    <xf borderId="1" fillId="2" fontId="4" numFmtId="4" xfId="0" applyAlignment="1" applyBorder="1" applyFont="1" applyNumberFormat="1">
      <alignment horizontal="center" readingOrder="0"/>
    </xf>
    <xf borderId="0" fillId="5" fontId="11" numFmtId="0" xfId="0" applyFont="1"/>
    <xf borderId="3" fillId="4" fontId="10" numFmtId="0" xfId="0" applyAlignment="1" applyBorder="1" applyFont="1">
      <alignment horizontal="center" readingOrder="0"/>
    </xf>
    <xf borderId="4" fillId="4" fontId="10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10" fillId="2" fontId="14" numFmtId="0" xfId="0" applyAlignment="1" applyBorder="1" applyFont="1">
      <alignment vertical="bottom"/>
    </xf>
    <xf borderId="10" fillId="2" fontId="1" numFmtId="4" xfId="0" applyAlignment="1" applyBorder="1" applyFont="1" applyNumberFormat="1">
      <alignment horizontal="center" vertical="bottom"/>
    </xf>
    <xf borderId="7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10" fillId="2" fontId="14" numFmtId="0" xfId="0" applyAlignment="1" applyBorder="1" applyFont="1">
      <alignment horizontal="center" vertical="bottom"/>
    </xf>
    <xf borderId="1" fillId="2" fontId="4" numFmtId="2" xfId="0" applyAlignment="1" applyBorder="1" applyFont="1" applyNumberFormat="1">
      <alignment horizontal="center" readingOrder="0"/>
    </xf>
    <xf borderId="9" fillId="2" fontId="1" numFmtId="0" xfId="0" applyAlignment="1" applyBorder="1" applyFont="1">
      <alignment horizontal="center" vertical="bottom"/>
    </xf>
    <xf borderId="6" fillId="2" fontId="14" numFmtId="0" xfId="0" applyAlignment="1" applyBorder="1" applyFont="1">
      <alignment vertical="bottom"/>
    </xf>
    <xf borderId="6" fillId="2" fontId="1" numFmtId="4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4" fillId="4" fontId="4" numFmtId="0" xfId="0" applyAlignment="1" applyBorder="1" applyFont="1">
      <alignment horizontal="center" readingOrder="0"/>
    </xf>
    <xf borderId="10" fillId="3" fontId="5" numFmtId="0" xfId="0" applyBorder="1" applyFont="1"/>
    <xf borderId="0" fillId="5" fontId="10" numFmtId="0" xfId="0" applyAlignment="1" applyFont="1">
      <alignment horizontal="center" readingOrder="0"/>
    </xf>
    <xf borderId="0" fillId="5" fontId="3" numFmtId="2" xfId="0" applyAlignment="1" applyFont="1" applyNumberFormat="1">
      <alignment horizontal="center" readingOrder="0"/>
    </xf>
    <xf borderId="3" fillId="4" fontId="1" numFmtId="0" xfId="0" applyAlignment="1" applyBorder="1" applyFont="1">
      <alignment horizontal="center" readingOrder="0" vertical="bottom"/>
    </xf>
    <xf borderId="4" fillId="4" fontId="14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0" fillId="5" fontId="11" numFmtId="4" xfId="0" applyAlignment="1" applyFont="1" applyNumberFormat="1">
      <alignment horizontal="center" readingOrder="0"/>
    </xf>
    <xf borderId="1" fillId="2" fontId="2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3" fontId="3" numFmtId="2" xfId="0" applyAlignment="1" applyFont="1" applyNumberFormat="1">
      <alignment horizontal="center" readingOrder="0"/>
    </xf>
    <xf borderId="1" fillId="3" fontId="12" numFmtId="0" xfId="0" applyAlignment="1" applyBorder="1" applyFont="1">
      <alignment horizontal="center" readingOrder="0"/>
    </xf>
    <xf borderId="2" fillId="5" fontId="10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11" numFmtId="0" xfId="0" applyAlignment="1" applyFont="1">
      <alignment readingOrder="0"/>
    </xf>
    <xf borderId="1" fillId="3" fontId="3" numFmtId="49" xfId="0" applyAlignment="1" applyBorder="1" applyFont="1" applyNumberFormat="1">
      <alignment horizontal="center" readingOrder="0"/>
    </xf>
    <xf borderId="0" fillId="5" fontId="3" numFmtId="49" xfId="0" applyAlignment="1" applyFont="1" applyNumberFormat="1">
      <alignment readingOrder="0"/>
    </xf>
    <xf borderId="0" fillId="5" fontId="3" numFmtId="49" xfId="0" applyAlignment="1" applyFont="1" applyNumberFormat="1">
      <alignment horizontal="center" readingOrder="0"/>
    </xf>
    <xf borderId="1" fillId="5" fontId="3" numFmtId="49" xfId="0" applyAlignment="1" applyBorder="1" applyFont="1" applyNumberFormat="1">
      <alignment horizontal="center" readingOrder="0"/>
    </xf>
    <xf borderId="0" fillId="3" fontId="3" numFmtId="49" xfId="0" applyAlignment="1" applyFont="1" applyNumberFormat="1">
      <alignment readingOrder="0"/>
    </xf>
    <xf borderId="0" fillId="3" fontId="3" numFmtId="49" xfId="0" applyAlignment="1" applyFont="1" applyNumberFormat="1">
      <alignment horizontal="center" readingOrder="0"/>
    </xf>
    <xf borderId="1" fillId="5" fontId="2" numFmtId="49" xfId="0" applyAlignment="1" applyBorder="1" applyFont="1" applyNumberFormat="1">
      <alignment horizontal="center" readingOrder="0"/>
    </xf>
    <xf borderId="0" fillId="3" fontId="2" numFmtId="0" xfId="0" applyFont="1"/>
    <xf borderId="1" fillId="5" fontId="3" numFmtId="0" xfId="0" applyAlignment="1" applyBorder="1" applyFont="1">
      <alignment horizontal="left" readingOrder="0" vertical="bottom"/>
    </xf>
    <xf borderId="1" fillId="5" fontId="11" numFmtId="0" xfId="0" applyAlignment="1" applyBorder="1" applyFont="1">
      <alignment horizontal="right" vertical="bottom"/>
    </xf>
    <xf borderId="1" fillId="3" fontId="11" numFmtId="0" xfId="0" applyAlignment="1" applyBorder="1" applyFont="1">
      <alignment horizontal="right" vertical="bottom"/>
    </xf>
    <xf borderId="1" fillId="2" fontId="10" numFmtId="2" xfId="0" applyAlignment="1" applyBorder="1" applyFont="1" applyNumberFormat="1">
      <alignment horizontal="center" vertical="bottom"/>
    </xf>
    <xf borderId="7" fillId="5" fontId="3" numFmtId="0" xfId="0" applyAlignment="1" applyBorder="1" applyFont="1">
      <alignment horizontal="left" readingOrder="0" vertical="bottom"/>
    </xf>
    <xf borderId="7" fillId="5" fontId="3" numFmtId="0" xfId="0" applyAlignment="1" applyBorder="1" applyFont="1">
      <alignment horizontal="center" readingOrder="0" vertical="bottom"/>
    </xf>
    <xf borderId="6" fillId="2" fontId="4" numFmtId="0" xfId="0" applyAlignment="1" applyBorder="1" applyFont="1">
      <alignment horizontal="center" vertical="bottom"/>
    </xf>
    <xf borderId="6" fillId="2" fontId="4" numFmtId="0" xfId="0" applyAlignment="1" applyBorder="1" applyFont="1">
      <alignment horizontal="center" readingOrder="0" vertical="bottom"/>
    </xf>
    <xf borderId="9" fillId="2" fontId="4" numFmtId="0" xfId="0" applyAlignment="1" applyBorder="1" applyFont="1">
      <alignment horizontal="center" vertical="bottom"/>
    </xf>
    <xf borderId="10" fillId="0" fontId="5" numFmtId="0" xfId="0" applyBorder="1" applyFont="1"/>
    <xf borderId="9" fillId="2" fontId="4" numFmtId="0" xfId="0" applyAlignment="1" applyBorder="1" applyFont="1">
      <alignment horizontal="center" readingOrder="0" vertical="bottom"/>
    </xf>
    <xf borderId="9" fillId="2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3" numFmtId="2" xfId="0" applyAlignment="1" applyBorder="1" applyFont="1" applyNumberFormat="1">
      <alignment horizontal="center" readingOrder="0"/>
    </xf>
    <xf borderId="0" fillId="5" fontId="3" numFmtId="0" xfId="0" applyAlignment="1" applyFont="1">
      <alignment horizontal="left" readingOrder="0" vertical="bottom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readingOrder="0" vertical="bottom"/>
    </xf>
    <xf borderId="1" fillId="0" fontId="12" numFmtId="0" xfId="0" applyBorder="1" applyFont="1"/>
    <xf borderId="1" fillId="0" fontId="11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/>
    </xf>
    <xf borderId="0" fillId="0" fontId="12" numFmtId="0" xfId="0" applyFont="1"/>
    <xf borderId="0" fillId="0" fontId="11" numFmtId="0" xfId="0" applyAlignment="1" applyFont="1">
      <alignment horizontal="center"/>
    </xf>
    <xf borderId="2" fillId="5" fontId="3" numFmtId="0" xfId="0" applyAlignment="1" applyBorder="1" applyFont="1">
      <alignment readingOrder="0" vertical="bottom"/>
    </xf>
    <xf borderId="0" fillId="2" fontId="15" numFmtId="0" xfId="0" applyAlignment="1" applyFont="1">
      <alignment readingOrder="0"/>
    </xf>
    <xf borderId="12" fillId="2" fontId="15" numFmtId="0" xfId="0" applyAlignment="1" applyBorder="1" applyFont="1">
      <alignment readingOrder="0"/>
    </xf>
    <xf borderId="12" fillId="2" fontId="15" numFmtId="0" xfId="0" applyAlignment="1" applyBorder="1" applyFont="1">
      <alignment horizontal="center" readingOrder="0"/>
    </xf>
    <xf borderId="2" fillId="2" fontId="15" numFmtId="0" xfId="0" applyAlignment="1" applyBorder="1" applyFont="1">
      <alignment horizontal="center" readingOrder="0"/>
    </xf>
    <xf borderId="1" fillId="2" fontId="15" numFmtId="0" xfId="0" applyAlignment="1" applyBorder="1" applyFont="1">
      <alignment horizontal="center" readingOrder="0"/>
    </xf>
    <xf borderId="1" fillId="5" fontId="7" numFmtId="0" xfId="0" applyAlignment="1" applyBorder="1" applyFont="1">
      <alignment readingOrder="0"/>
    </xf>
    <xf borderId="1" fillId="5" fontId="7" numFmtId="4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readingOrder="0"/>
    </xf>
    <xf borderId="1" fillId="3" fontId="7" numFmtId="4" xfId="0" applyAlignment="1" applyBorder="1" applyFont="1" applyNumberFormat="1">
      <alignment horizontal="center" readingOrder="0"/>
    </xf>
    <xf borderId="1" fillId="2" fontId="15" numFmtId="4" xfId="0" applyAlignment="1" applyBorder="1" applyFont="1" applyNumberFormat="1">
      <alignment horizontal="center" readingOrder="0"/>
    </xf>
    <xf borderId="1" fillId="2" fontId="10" numFmtId="0" xfId="0" applyAlignment="1" applyBorder="1" applyFont="1">
      <alignment readingOrder="0"/>
    </xf>
    <xf borderId="1" fillId="5" fontId="11" numFmtId="0" xfId="0" applyAlignment="1" applyBorder="1" applyFont="1">
      <alignment readingOrder="0"/>
    </xf>
    <xf borderId="1" fillId="3" fontId="11" numFmtId="0" xfId="0" applyAlignment="1" applyBorder="1" applyFont="1">
      <alignment readingOrder="0"/>
    </xf>
    <xf borderId="1" fillId="3" fontId="11" numFmtId="2" xfId="0" applyAlignment="1" applyBorder="1" applyFont="1" applyNumberFormat="1">
      <alignment horizontal="center" readingOrder="0"/>
    </xf>
    <xf borderId="1" fillId="2" fontId="10" numFmtId="2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left" readingOrder="0"/>
    </xf>
    <xf borderId="1" fillId="5" fontId="3" numFmtId="0" xfId="0" applyAlignment="1" applyBorder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0">
    <tableStyle count="2" pivot="0" name="Fastest Pins-style">
      <tableStyleElement dxfId="1" type="firstRowStripe"/>
      <tableStyleElement dxfId="2" type="secondRowStripe"/>
    </tableStyle>
    <tableStyle count="2" pivot="0" name="Fastest Pins-style 2">
      <tableStyleElement dxfId="1" type="firstRowStripe"/>
      <tableStyleElement dxfId="2" type="secondRowStripe"/>
    </tableStyle>
    <tableStyle count="2" pivot="0" name="Career Leaders-style">
      <tableStyleElement dxfId="2" type="firstRowStripe"/>
      <tableStyleElement dxfId="1" type="secondRowStripe"/>
    </tableStyle>
    <tableStyle count="2" pivot="0" name="Career Leaders-style 2">
      <tableStyleElement dxfId="1" type="firstRowStripe"/>
      <tableStyleElement dxfId="2" type="secondRowStripe"/>
    </tableStyle>
    <tableStyle count="2" pivot="0" name="Career Leaders-style 3">
      <tableStyleElement dxfId="2" type="firstRowStripe"/>
      <tableStyleElement dxfId="1" type="secondRowStripe"/>
    </tableStyle>
    <tableStyle count="2" pivot="0" name="Career Leaders-style 4">
      <tableStyleElement dxfId="2" type="firstRowStripe"/>
      <tableStyleElement dxfId="1" type="secondRowStripe"/>
    </tableStyle>
    <tableStyle count="2" pivot="0" name="Career Leaders-style 5">
      <tableStyleElement dxfId="2" type="firstRowStripe"/>
      <tableStyleElement dxfId="1" type="secondRowStripe"/>
    </tableStyle>
    <tableStyle count="2" pivot="0" name="Career Leaders-style 6">
      <tableStyleElement dxfId="2" type="firstRowStripe"/>
      <tableStyleElement dxfId="1" type="secondRowStripe"/>
    </tableStyle>
    <tableStyle count="2" pivot="0" name="Career Leaders-style 7">
      <tableStyleElement dxfId="2" type="firstRowStripe"/>
      <tableStyleElement dxfId="1" type="secondRowStripe"/>
    </tableStyle>
    <tableStyle count="2" pivot="0" name="Career Leaders-style 8">
      <tableStyleElement dxfId="1" type="firstRowStripe"/>
      <tableStyleElement dxfId="2" type="secondRowStripe"/>
    </tableStyle>
    <tableStyle count="2" pivot="0" name="Career Leaders-style 9">
      <tableStyleElement dxfId="2" type="firstRowStripe"/>
      <tableStyleElement dxfId="1" type="secondRowStripe"/>
    </tableStyle>
    <tableStyle count="3" pivot="0" name="Single Season Leaders-style">
      <tableStyleElement dxfId="1" type="headerRow"/>
      <tableStyleElement dxfId="2" type="firstRowStripe"/>
      <tableStyleElement dxfId="1" type="secondRowStripe"/>
    </tableStyle>
    <tableStyle count="2" pivot="0" name="Single Season Leaders-style 2">
      <tableStyleElement dxfId="2" type="firstRowStripe"/>
      <tableStyleElement dxfId="1" type="secondRowStripe"/>
    </tableStyle>
    <tableStyle count="2" pivot="0" name="Single Season Leaders-style 3">
      <tableStyleElement dxfId="2" type="firstRowStripe"/>
      <tableStyleElement dxfId="1" type="secondRowStripe"/>
    </tableStyle>
    <tableStyle count="2" pivot="0" name="Single Season Leaders-style 4">
      <tableStyleElement dxfId="2" type="firstRowStripe"/>
      <tableStyleElement dxfId="1" type="secondRowStripe"/>
    </tableStyle>
    <tableStyle count="2" pivot="0" name="Single Season Leaders-style 5">
      <tableStyleElement dxfId="1" type="firstRowStripe"/>
      <tableStyleElement dxfId="2" type="secondRowStripe"/>
    </tableStyle>
    <tableStyle count="2" pivot="0" name="Single Season Leaders-style 6">
      <tableStyleElement dxfId="2" type="firstRowStripe"/>
      <tableStyleElement dxfId="1" type="secondRowStripe"/>
    </tableStyle>
    <tableStyle count="2" pivot="0" name="Single Season Leaders-style 7">
      <tableStyleElement dxfId="2" type="firstRowStripe"/>
      <tableStyleElement dxfId="1" type="secondRowStripe"/>
    </tableStyle>
    <tableStyle count="2" pivot="0" name="Single Season Leaders-style 8">
      <tableStyleElement dxfId="2" type="firstRowStripe"/>
      <tableStyleElement dxfId="1" type="secondRowStripe"/>
    </tableStyle>
    <tableStyle count="2" pivot="0" name="Single Season Leaders-style 9">
      <tableStyleElement dxfId="2" type="firstRowStripe"/>
      <tableStyleElement dxfId="1" type="secondRowStripe"/>
    </tableStyle>
    <tableStyle count="3" pivot="0" name="Season Top Fives-style">
      <tableStyleElement dxfId="1" type="headerRow"/>
      <tableStyleElement dxfId="2" type="firstRowStripe"/>
      <tableStyleElement dxfId="1" type="secondRowStripe"/>
    </tableStyle>
    <tableStyle count="3" pivot="0" name="Season Top Fives-style 2">
      <tableStyleElement dxfId="1" type="headerRow"/>
      <tableStyleElement dxfId="2" type="firstRowStripe"/>
      <tableStyleElement dxfId="1" type="secondRowStripe"/>
    </tableStyle>
    <tableStyle count="3" pivot="0" name="Season Top Fives-style 3">
      <tableStyleElement dxfId="1" type="headerRow"/>
      <tableStyleElement dxfId="2" type="firstRowStripe"/>
      <tableStyleElement dxfId="1" type="secondRowStripe"/>
    </tableStyle>
    <tableStyle count="2" pivot="0" name="Season Top Fives-style 4">
      <tableStyleElement dxfId="1" type="firstRowStripe"/>
      <tableStyleElement dxfId="2" type="secondRowStripe"/>
    </tableStyle>
    <tableStyle count="3" pivot="0" name="Season Top Fives-style 5">
      <tableStyleElement dxfId="1" type="headerRow"/>
      <tableStyleElement dxfId="2" type="firstRowStripe"/>
      <tableStyleElement dxfId="1" type="secondRowStripe"/>
    </tableStyle>
    <tableStyle count="3" pivot="0" name="Season Top Fives-style 6">
      <tableStyleElement dxfId="1" type="headerRow"/>
      <tableStyleElement dxfId="2" type="firstRowStripe"/>
      <tableStyleElement dxfId="1" type="secondRowStripe"/>
    </tableStyle>
    <tableStyle count="3" pivot="0" name="Season Top Fives-style 7">
      <tableStyleElement dxfId="1" type="headerRow"/>
      <tableStyleElement dxfId="2" type="firstRowStripe"/>
      <tableStyleElement dxfId="1" type="secondRowStripe"/>
    </tableStyle>
    <tableStyle count="2" pivot="0" name="Season Top Fives-style 8">
      <tableStyleElement dxfId="2" type="firstRowStripe"/>
      <tableStyleElement dxfId="1" type="secondRowStripe"/>
    </tableStyle>
    <tableStyle count="3" pivot="0" name="2024-25-style">
      <tableStyleElement dxfId="1" type="headerRow"/>
      <tableStyleElement dxfId="2" type="firstRowStripe"/>
      <tableStyleElement dxfId="1" type="secondRowStripe"/>
    </tableStyle>
    <tableStyle count="3" pivot="0" name="2023-24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D3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Fastest Pins-style" showColumnStripes="0" showFirstColumn="1" showLastColumn="1" showRowStripes="1"/>
</table>
</file>

<file path=xl/tables/table2.xml><?xml version="1.0" encoding="utf-8"?>
<table xmlns="http://schemas.openxmlformats.org/spreadsheetml/2006/main" headerRowCount="0" ref="A4:D94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Fastest Pin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:B8" displayName="Table_3" name="Table_3" id="3">
  <tableColumns count="1">
    <tableColumn name="Column1" id="1"/>
  </tableColumns>
  <tableStyleInfo name="Career Leaders-style" showColumnStripes="0" showFirstColumn="1" showLastColumn="1" showRowStripes="1"/>
</table>
</file>

<file path=xl/tables/table4.xml><?xml version="1.0" encoding="utf-8"?>
<table xmlns="http://schemas.openxmlformats.org/spreadsheetml/2006/main" headerRowCount="0" ref="B13:C13" displayName="Table_4" name="Table_4" id="4">
  <tableColumns count="2">
    <tableColumn name="Column1" id="1"/>
    <tableColumn name="Column2" id="2"/>
  </tableColumns>
  <tableStyleInfo name="Career Leaders-style 2" showColumnStripes="0" showFirstColumn="1" showLastColumn="1" showRowStripes="1"/>
</table>
</file>

<file path=xl/tables/table5.xml><?xml version="1.0" encoding="utf-8"?>
<table xmlns="http://schemas.openxmlformats.org/spreadsheetml/2006/main" headerRowCount="0" ref="B14:C14" displayName="Table_5" name="Table_5" id="5">
  <tableColumns count="2">
    <tableColumn name="Column1" id="1"/>
    <tableColumn name="Column2" id="2"/>
  </tableColumns>
  <tableStyleInfo name="Career Leaders-style 3" showColumnStripes="0" showFirstColumn="1" showLastColumn="1" showRowStripes="1"/>
</table>
</file>

<file path=xl/tables/table6.xml><?xml version="1.0" encoding="utf-8"?>
<table xmlns="http://schemas.openxmlformats.org/spreadsheetml/2006/main" headerRowCount="0" ref="B19:B21" displayName="Table_6" name="Table_6" id="6">
  <tableColumns count="1">
    <tableColumn name="Column1" id="1"/>
  </tableColumns>
  <tableStyleInfo name="Career Leaders-style 4" showColumnStripes="0" showFirstColumn="1" showLastColumn="1" showRowStripes="1"/>
</table>
</file>

<file path=xl/tables/table7.xml><?xml version="1.0" encoding="utf-8"?>
<table xmlns="http://schemas.openxmlformats.org/spreadsheetml/2006/main" headerRowCount="0" ref="C19:C21" displayName="Table_7" name="Table_7" id="7">
  <tableColumns count="1">
    <tableColumn name="Column1" id="1"/>
  </tableColumns>
  <tableStyleInfo name="Career Leaders-style 5" showColumnStripes="0" showFirstColumn="1" showLastColumn="1" showRowStripes="1"/>
</table>
</file>

<file path=xl/tables/table8.xml><?xml version="1.0" encoding="utf-8"?>
<table xmlns="http://schemas.openxmlformats.org/spreadsheetml/2006/main" headerRowCount="0" ref="B41:C45" displayName="Table_8" name="Table_8" id="8">
  <tableColumns count="2">
    <tableColumn name="Column1" id="1"/>
    <tableColumn name="Column2" id="2"/>
  </tableColumns>
  <tableStyleInfo name="Career Leaders-style 6" showColumnStripes="0" showFirstColumn="1" showLastColumn="1" showRowStripes="1"/>
</table>
</file>

<file path=xl/tables/table9.xml><?xml version="1.0" encoding="utf-8"?>
<table xmlns="http://schemas.openxmlformats.org/spreadsheetml/2006/main" headerRowCount="0" ref="D41:D45" displayName="Table_9" name="Table_9" id="9">
  <tableColumns count="1">
    <tableColumn name="Column1" id="1"/>
  </tableColumns>
  <tableStyleInfo name="Career Leaders-style 7" showColumnStripes="0" showFirstColumn="1" showLastColumn="1" showRowStripes="1"/>
</table>
</file>

<file path=xl/tables/table10.xml><?xml version="1.0" encoding="utf-8"?>
<table xmlns="http://schemas.openxmlformats.org/spreadsheetml/2006/main" headerRowCount="0" ref="C48:C52" displayName="Table_10" name="Table_10" id="10">
  <tableColumns count="1">
    <tableColumn name="Column1" id="1"/>
  </tableColumns>
  <tableStyleInfo name="Career Leaders-style 8" showColumnStripes="0" showFirstColumn="1" showLastColumn="1" showRowStripes="1"/>
</table>
</file>

<file path=xl/tables/table11.xml><?xml version="1.0" encoding="utf-8"?>
<table xmlns="http://schemas.openxmlformats.org/spreadsheetml/2006/main" headerRowCount="0" ref="D48:D50" displayName="Table_11" name="Table_11" id="11">
  <tableColumns count="1">
    <tableColumn name="Column1" id="1"/>
  </tableColumns>
  <tableStyleInfo name="Career Leaders-style 9" showColumnStripes="0" showFirstColumn="1" showLastColumn="1" showRowStripes="1"/>
</table>
</file>

<file path=xl/tables/table12.xml><?xml version="1.0" encoding="utf-8"?>
<table xmlns="http://schemas.openxmlformats.org/spreadsheetml/2006/main" headerRowCount="0" ref="D7:D8" displayName="Table_12" name="Table_12" id="12">
  <tableColumns count="1">
    <tableColumn name="Column1" id="1"/>
  </tableColumns>
  <tableStyleInfo name="Single Season Lead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B18:B23" displayName="Table_13" name="Table_13" id="13">
  <tableColumns count="1">
    <tableColumn name="Column1" id="1"/>
  </tableColumns>
  <tableStyleInfo name="Single Season Leaders-style 2" showColumnStripes="0" showFirstColumn="1" showLastColumn="1" showRowStripes="1"/>
</table>
</file>

<file path=xl/tables/table14.xml><?xml version="1.0" encoding="utf-8"?>
<table xmlns="http://schemas.openxmlformats.org/spreadsheetml/2006/main" headerRowCount="0" ref="C18:C23" displayName="Table_14" name="Table_14" id="14">
  <tableColumns count="1">
    <tableColumn name="Column1" id="1"/>
  </tableColumns>
  <tableStyleInfo name="Single Season Leaders-style 3" showColumnStripes="0" showFirstColumn="1" showLastColumn="1" showRowStripes="1"/>
</table>
</file>

<file path=xl/tables/table15.xml><?xml version="1.0" encoding="utf-8"?>
<table xmlns="http://schemas.openxmlformats.org/spreadsheetml/2006/main" headerRowCount="0" ref="D18:D23" displayName="Table_15" name="Table_15" id="15">
  <tableColumns count="1">
    <tableColumn name="Column1" id="1"/>
  </tableColumns>
  <tableStyleInfo name="Single Season Leaders-style 4" showColumnStripes="0" showFirstColumn="1" showLastColumn="1" showRowStripes="1"/>
</table>
</file>

<file path=xl/tables/table16.xml><?xml version="1.0" encoding="utf-8"?>
<table xmlns="http://schemas.openxmlformats.org/spreadsheetml/2006/main" headerRowCount="0" ref="B25:D30" displayName="Table_16" name="Table_16" id="16">
  <tableColumns count="3">
    <tableColumn name="Column1" id="1"/>
    <tableColumn name="Column2" id="2"/>
    <tableColumn name="Column3" id="3"/>
  </tableColumns>
  <tableStyleInfo name="Single Season Leaders-style 5" showColumnStripes="0" showFirstColumn="1" showLastColumn="1" showRowStripes="1"/>
</table>
</file>

<file path=xl/tables/table17.xml><?xml version="1.0" encoding="utf-8"?>
<table xmlns="http://schemas.openxmlformats.org/spreadsheetml/2006/main" headerRowCount="0" ref="D44:D48" displayName="Table_17" name="Table_17" id="17">
  <tableColumns count="1">
    <tableColumn name="Column1" id="1"/>
  </tableColumns>
  <tableStyleInfo name="Single Season Leaders-style 6" showColumnStripes="0" showFirstColumn="1" showLastColumn="1" showRowStripes="1"/>
</table>
</file>

<file path=xl/tables/table18.xml><?xml version="1.0" encoding="utf-8"?>
<table xmlns="http://schemas.openxmlformats.org/spreadsheetml/2006/main" headerRowCount="0" ref="B46:B48" displayName="Table_18" name="Table_18" id="18">
  <tableColumns count="1">
    <tableColumn name="Column1" id="1"/>
  </tableColumns>
  <tableStyleInfo name="Single Season Leaders-style 7" showColumnStripes="0" showFirstColumn="1" showLastColumn="1" showRowStripes="1"/>
</table>
</file>

<file path=xl/tables/table19.xml><?xml version="1.0" encoding="utf-8"?>
<table xmlns="http://schemas.openxmlformats.org/spreadsheetml/2006/main" headerRowCount="0" ref="C46:C48" displayName="Table_19" name="Table_19" id="19">
  <tableColumns count="1">
    <tableColumn name="Column1" id="1"/>
  </tableColumns>
  <tableStyleInfo name="Single Season Leaders-style 8" showColumnStripes="0" showFirstColumn="1" showLastColumn="1" showRowStripes="1"/>
</table>
</file>

<file path=xl/tables/table20.xml><?xml version="1.0" encoding="utf-8"?>
<table xmlns="http://schemas.openxmlformats.org/spreadsheetml/2006/main" headerRowCount="0" ref="B51:B53" displayName="Table_20" name="Table_20" id="20">
  <tableColumns count="1">
    <tableColumn name="Column1" id="1"/>
  </tableColumns>
  <tableStyleInfo name="Single Season Leaders-style 9" showColumnStripes="0" showFirstColumn="1" showLastColumn="1" showRowStripes="1"/>
</table>
</file>

<file path=xl/tables/table21.xml><?xml version="1.0" encoding="utf-8"?>
<table xmlns="http://schemas.openxmlformats.org/spreadsheetml/2006/main" headerRowCount="0" ref="A4:E8" displayName="Table_21" name="Table_21" id="21">
  <tableColumns count="5">
    <tableColumn name="Column1" id="1"/>
    <tableColumn name="Column2" id="2"/>
    <tableColumn name="Column3" id="3"/>
    <tableColumn name="Column4" id="4"/>
    <tableColumn name="Column5" id="5"/>
  </tableColumns>
  <tableStyleInfo name="Season Top Fiv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F4:K8" displayName="Table_22" name="Table_22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ason Top Five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11:E15" displayName="Table_23" name="Table_23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Season Top Fiv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F11:F15" displayName="Table_24" name="Table_24" id="24">
  <tableColumns count="1">
    <tableColumn name="Column1" id="1"/>
  </tableColumns>
  <tableStyleInfo name="Season Top Fives-style 4" showColumnStripes="0" showFirstColumn="1" showLastColumn="1" showRowStripes="1"/>
</table>
</file>

<file path=xl/tables/table25.xml><?xml version="1.0" encoding="utf-8"?>
<table xmlns="http://schemas.openxmlformats.org/spreadsheetml/2006/main" headerRowCount="0" ref="A38:E42" displayName="Table_25" name="Table_25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Season Top Five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ref="F38:F42" displayName="Table_26" name="Table_26" id="26">
  <tableColumns count="1">
    <tableColumn name="Haley Dezelske" id="1"/>
  </tableColumns>
  <tableStyleInfo name="Season Top Fives-style 6" showColumnStripes="0" showFirstColumn="1" showLastColumn="1" showRowStripes="1"/>
</table>
</file>

<file path=xl/tables/table27.xml><?xml version="1.0" encoding="utf-8"?>
<table xmlns="http://schemas.openxmlformats.org/spreadsheetml/2006/main" headerRowCount="0" ref="G38:G42" displayName="Table_27" name="Table_27" id="27">
  <tableColumns count="1">
    <tableColumn name="Column1" id="1"/>
  </tableColumns>
  <tableStyleInfo name="Season Top Five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B46:B50" displayName="Table_28" name="Table_28" id="28">
  <tableColumns count="1">
    <tableColumn name="Column1" id="1"/>
  </tableColumns>
  <tableStyleInfo name="Season Top Fives-style 8" showColumnStripes="0" showFirstColumn="1" showLastColumn="1" showRowStripes="1"/>
</table>
</file>

<file path=xl/tables/table29.xml><?xml version="1.0" encoding="utf-8"?>
<table xmlns="http://schemas.openxmlformats.org/spreadsheetml/2006/main" headerRowCount="0" ref="A3:AG26" displayName="Table_29" name="Table_29" id="2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2024-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A3:AC26" displayName="Table_30" name="Table_30" id="30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2023-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3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Relationship Id="rId17" Type="http://schemas.openxmlformats.org/officeDocument/2006/relationships/table" Target="../tables/table9.xml"/><Relationship Id="rId16" Type="http://schemas.openxmlformats.org/officeDocument/2006/relationships/table" Target="../tables/table8.xml"/><Relationship Id="rId19" Type="http://schemas.openxmlformats.org/officeDocument/2006/relationships/table" Target="../tables/table11.xml"/><Relationship Id="rId18" Type="http://schemas.openxmlformats.org/officeDocument/2006/relationships/table" Target="../tables/table1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2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15" Type="http://schemas.openxmlformats.org/officeDocument/2006/relationships/table" Target="../tables/table16.xml"/><Relationship Id="rId14" Type="http://schemas.openxmlformats.org/officeDocument/2006/relationships/table" Target="../tables/table15.xml"/><Relationship Id="rId17" Type="http://schemas.openxmlformats.org/officeDocument/2006/relationships/table" Target="../tables/table18.xml"/><Relationship Id="rId16" Type="http://schemas.openxmlformats.org/officeDocument/2006/relationships/table" Target="../tables/table17.xml"/><Relationship Id="rId19" Type="http://schemas.openxmlformats.org/officeDocument/2006/relationships/table" Target="../tables/table20.xml"/><Relationship Id="rId18" Type="http://schemas.openxmlformats.org/officeDocument/2006/relationships/table" Target="../tables/table1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22.xml"/><Relationship Id="rId10" Type="http://schemas.openxmlformats.org/officeDocument/2006/relationships/table" Target="../tables/table21.xml"/><Relationship Id="rId13" Type="http://schemas.openxmlformats.org/officeDocument/2006/relationships/table" Target="../tables/table24.xml"/><Relationship Id="rId12" Type="http://schemas.openxmlformats.org/officeDocument/2006/relationships/table" Target="../tables/table23.xml"/><Relationship Id="rId15" Type="http://schemas.openxmlformats.org/officeDocument/2006/relationships/table" Target="../tables/table26.xml"/><Relationship Id="rId14" Type="http://schemas.openxmlformats.org/officeDocument/2006/relationships/table" Target="../tables/table25.xml"/><Relationship Id="rId17" Type="http://schemas.openxmlformats.org/officeDocument/2006/relationships/table" Target="../tables/table28.xml"/><Relationship Id="rId16" Type="http://schemas.openxmlformats.org/officeDocument/2006/relationships/table" Target="../tables/table2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7.0"/>
    <col customWidth="1" min="3" max="3" width="13.88"/>
    <col customWidth="1" min="4" max="4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2026.0</v>
      </c>
      <c r="C2" s="2" t="s">
        <v>4</v>
      </c>
      <c r="D2" s="2">
        <v>7.0</v>
      </c>
    </row>
    <row r="3">
      <c r="A3" s="3">
        <v>2.0</v>
      </c>
      <c r="B3" s="3">
        <v>2024.0</v>
      </c>
      <c r="C3" s="3" t="s">
        <v>4</v>
      </c>
      <c r="D3" s="3">
        <v>8.0</v>
      </c>
    </row>
    <row r="4">
      <c r="A4" s="2">
        <v>2.0</v>
      </c>
      <c r="B4" s="2">
        <v>2024.0</v>
      </c>
      <c r="C4" s="2" t="s">
        <v>4</v>
      </c>
      <c r="D4" s="2">
        <v>8.0</v>
      </c>
    </row>
    <row r="5">
      <c r="A5" s="2">
        <v>4.0</v>
      </c>
      <c r="B5" s="2">
        <v>2026.0</v>
      </c>
      <c r="C5" s="2" t="s">
        <v>4</v>
      </c>
      <c r="D5" s="2">
        <v>9.0</v>
      </c>
    </row>
    <row r="6">
      <c r="A6" s="2">
        <v>4.0</v>
      </c>
      <c r="B6" s="2">
        <v>2024.0</v>
      </c>
      <c r="C6" s="2" t="s">
        <v>5</v>
      </c>
      <c r="D6" s="2">
        <v>9.0</v>
      </c>
    </row>
    <row r="7">
      <c r="A7" s="2">
        <v>6.0</v>
      </c>
      <c r="B7" s="2">
        <v>2026.0</v>
      </c>
      <c r="C7" s="2" t="s">
        <v>6</v>
      </c>
      <c r="D7" s="2">
        <v>10.0</v>
      </c>
    </row>
    <row r="8">
      <c r="A8" s="2">
        <v>6.0</v>
      </c>
      <c r="B8" s="2">
        <v>2025.0</v>
      </c>
      <c r="C8" s="2" t="s">
        <v>7</v>
      </c>
      <c r="D8" s="2">
        <v>10.0</v>
      </c>
    </row>
    <row r="9">
      <c r="A9" s="2">
        <v>6.0</v>
      </c>
      <c r="B9" s="2">
        <v>2025.0</v>
      </c>
      <c r="C9" s="2" t="s">
        <v>8</v>
      </c>
      <c r="D9" s="2">
        <v>10.0</v>
      </c>
    </row>
    <row r="10">
      <c r="A10" s="2">
        <v>6.0</v>
      </c>
      <c r="B10" s="2">
        <v>2024.0</v>
      </c>
      <c r="C10" s="2" t="s">
        <v>9</v>
      </c>
      <c r="D10" s="2">
        <v>10.0</v>
      </c>
    </row>
    <row r="11">
      <c r="A11" s="2">
        <v>6.0</v>
      </c>
      <c r="B11" s="2">
        <v>2025.0</v>
      </c>
      <c r="C11" s="2" t="s">
        <v>10</v>
      </c>
      <c r="D11" s="2">
        <v>10.0</v>
      </c>
    </row>
    <row r="12">
      <c r="A12" s="2">
        <v>11.0</v>
      </c>
      <c r="B12" s="2">
        <v>2024.0</v>
      </c>
      <c r="C12" s="2" t="s">
        <v>7</v>
      </c>
      <c r="D12" s="2">
        <v>11.0</v>
      </c>
    </row>
    <row r="13">
      <c r="A13" s="2">
        <v>12.0</v>
      </c>
      <c r="B13" s="2">
        <v>2024.0</v>
      </c>
      <c r="C13" s="2" t="s">
        <v>4</v>
      </c>
      <c r="D13" s="2">
        <v>12.0</v>
      </c>
    </row>
    <row r="14">
      <c r="A14" s="2">
        <v>12.0</v>
      </c>
      <c r="B14" s="2">
        <v>2025.0</v>
      </c>
      <c r="C14" s="2" t="s">
        <v>11</v>
      </c>
      <c r="D14" s="2">
        <v>12.0</v>
      </c>
    </row>
    <row r="15">
      <c r="A15" s="2">
        <v>12.0</v>
      </c>
      <c r="B15" s="2">
        <v>2024.0</v>
      </c>
      <c r="C15" s="2" t="s">
        <v>5</v>
      </c>
      <c r="D15" s="2">
        <v>12.0</v>
      </c>
    </row>
    <row r="16">
      <c r="A16" s="2">
        <v>12.0</v>
      </c>
      <c r="B16" s="2">
        <v>2023.0</v>
      </c>
      <c r="C16" s="2" t="s">
        <v>12</v>
      </c>
      <c r="D16" s="2">
        <v>12.0</v>
      </c>
    </row>
    <row r="17">
      <c r="A17" s="2">
        <v>16.0</v>
      </c>
      <c r="B17" s="2">
        <v>2026.0</v>
      </c>
      <c r="C17" s="2" t="s">
        <v>13</v>
      </c>
      <c r="D17" s="2">
        <v>13.0</v>
      </c>
    </row>
    <row r="18">
      <c r="A18" s="2">
        <v>16.0</v>
      </c>
      <c r="B18" s="2">
        <v>2026.0</v>
      </c>
      <c r="C18" s="2" t="s">
        <v>4</v>
      </c>
      <c r="D18" s="2">
        <v>13.0</v>
      </c>
    </row>
    <row r="19">
      <c r="A19" s="2">
        <v>16.0</v>
      </c>
      <c r="B19" s="2">
        <v>2024.0</v>
      </c>
      <c r="C19" s="2" t="s">
        <v>4</v>
      </c>
      <c r="D19" s="2">
        <v>13.0</v>
      </c>
    </row>
    <row r="20">
      <c r="A20" s="2">
        <v>19.0</v>
      </c>
      <c r="B20" s="2">
        <v>2025.0</v>
      </c>
      <c r="C20" s="2" t="s">
        <v>7</v>
      </c>
      <c r="D20" s="2">
        <v>14.0</v>
      </c>
    </row>
    <row r="21">
      <c r="A21" s="2">
        <v>19.0</v>
      </c>
      <c r="B21" s="2">
        <v>2023.0</v>
      </c>
      <c r="C21" s="2" t="s">
        <v>12</v>
      </c>
      <c r="D21" s="2">
        <v>14.0</v>
      </c>
    </row>
    <row r="22">
      <c r="A22" s="2">
        <v>19.0</v>
      </c>
      <c r="B22" s="2">
        <v>2023.0</v>
      </c>
      <c r="C22" s="2" t="s">
        <v>12</v>
      </c>
      <c r="D22" s="2">
        <v>14.0</v>
      </c>
    </row>
    <row r="23">
      <c r="A23" s="2">
        <v>22.0</v>
      </c>
      <c r="B23" s="2">
        <v>2024.0</v>
      </c>
      <c r="C23" s="2" t="s">
        <v>4</v>
      </c>
      <c r="D23" s="2">
        <v>14.0</v>
      </c>
    </row>
    <row r="24">
      <c r="A24" s="2">
        <v>22.0</v>
      </c>
      <c r="B24" s="2">
        <v>2022.0</v>
      </c>
      <c r="C24" s="2" t="s">
        <v>14</v>
      </c>
      <c r="D24" s="2">
        <v>14.0</v>
      </c>
    </row>
    <row r="25">
      <c r="A25" s="2">
        <v>24.0</v>
      </c>
      <c r="B25" s="2">
        <v>2023.0</v>
      </c>
      <c r="C25" s="2" t="s">
        <v>15</v>
      </c>
      <c r="D25" s="2">
        <v>15.0</v>
      </c>
    </row>
    <row r="26">
      <c r="A26" s="2">
        <v>24.0</v>
      </c>
      <c r="B26" s="2">
        <v>2023.0</v>
      </c>
      <c r="C26" s="2" t="s">
        <v>16</v>
      </c>
      <c r="D26" s="2">
        <v>15.0</v>
      </c>
    </row>
    <row r="27">
      <c r="A27" s="2">
        <v>26.0</v>
      </c>
      <c r="B27" s="2">
        <v>2025.0</v>
      </c>
      <c r="C27" s="2" t="s">
        <v>17</v>
      </c>
      <c r="D27" s="2">
        <v>15.0</v>
      </c>
    </row>
    <row r="28">
      <c r="A28" s="2">
        <v>26.0</v>
      </c>
      <c r="B28" s="2">
        <v>2024.0</v>
      </c>
      <c r="C28" s="2" t="s">
        <v>9</v>
      </c>
      <c r="D28" s="2">
        <v>16.0</v>
      </c>
    </row>
    <row r="29">
      <c r="A29" s="2">
        <v>28.0</v>
      </c>
      <c r="B29" s="2">
        <v>2024.0</v>
      </c>
      <c r="C29" s="2" t="s">
        <v>7</v>
      </c>
      <c r="D29" s="2">
        <v>16.0</v>
      </c>
    </row>
    <row r="30">
      <c r="A30" s="2">
        <v>28.0</v>
      </c>
      <c r="B30" s="2">
        <v>2026.0</v>
      </c>
      <c r="C30" s="2" t="s">
        <v>13</v>
      </c>
      <c r="D30" s="2">
        <v>17.0</v>
      </c>
    </row>
    <row r="31">
      <c r="A31" s="2">
        <v>28.0</v>
      </c>
      <c r="B31" s="2">
        <v>2026.0</v>
      </c>
      <c r="C31" s="2" t="s">
        <v>17</v>
      </c>
      <c r="D31" s="2">
        <v>17.0</v>
      </c>
    </row>
    <row r="32">
      <c r="A32" s="2">
        <v>31.0</v>
      </c>
      <c r="B32" s="2">
        <v>2023.0</v>
      </c>
      <c r="C32" s="2" t="s">
        <v>16</v>
      </c>
      <c r="D32" s="2">
        <v>17.0</v>
      </c>
    </row>
    <row r="33">
      <c r="A33" s="2">
        <v>31.0</v>
      </c>
      <c r="B33" s="2">
        <v>2024.0</v>
      </c>
      <c r="C33" s="2" t="s">
        <v>9</v>
      </c>
      <c r="D33" s="2">
        <v>18.0</v>
      </c>
    </row>
    <row r="34">
      <c r="A34" s="2">
        <v>31.0</v>
      </c>
      <c r="B34" s="2">
        <v>2025.0</v>
      </c>
      <c r="C34" s="2" t="s">
        <v>9</v>
      </c>
      <c r="D34" s="2">
        <v>18.0</v>
      </c>
    </row>
    <row r="35">
      <c r="A35" s="2">
        <v>31.0</v>
      </c>
      <c r="B35" s="2">
        <v>2023.0</v>
      </c>
      <c r="C35" s="2" t="s">
        <v>18</v>
      </c>
      <c r="D35" s="2">
        <v>19.0</v>
      </c>
    </row>
    <row r="36">
      <c r="A36" s="2">
        <v>31.0</v>
      </c>
      <c r="B36" s="2">
        <v>2026.0</v>
      </c>
      <c r="C36" s="2" t="s">
        <v>19</v>
      </c>
      <c r="D36" s="2">
        <v>20.0</v>
      </c>
    </row>
    <row r="37">
      <c r="A37" s="2">
        <v>36.0</v>
      </c>
      <c r="B37" s="2">
        <v>2025.0</v>
      </c>
      <c r="C37" s="2" t="s">
        <v>16</v>
      </c>
      <c r="D37" s="2">
        <v>20.0</v>
      </c>
    </row>
    <row r="38">
      <c r="A38" s="2">
        <v>36.0</v>
      </c>
      <c r="B38" s="2">
        <v>2025.0</v>
      </c>
      <c r="C38" s="2" t="s">
        <v>20</v>
      </c>
      <c r="D38" s="2">
        <v>20.0</v>
      </c>
    </row>
    <row r="39">
      <c r="A39" s="2">
        <v>36.0</v>
      </c>
      <c r="B39" s="2">
        <v>2026.0</v>
      </c>
      <c r="C39" s="2" t="s">
        <v>21</v>
      </c>
      <c r="D39" s="2">
        <v>20.0</v>
      </c>
    </row>
    <row r="40">
      <c r="A40" s="2">
        <v>39.0</v>
      </c>
      <c r="B40" s="2">
        <v>2024.0</v>
      </c>
      <c r="C40" s="2" t="s">
        <v>22</v>
      </c>
      <c r="D40" s="2">
        <v>21.0</v>
      </c>
    </row>
    <row r="41">
      <c r="A41" s="2">
        <v>39.0</v>
      </c>
      <c r="B41" s="2">
        <v>2022.0</v>
      </c>
      <c r="C41" s="2" t="s">
        <v>23</v>
      </c>
      <c r="D41" s="2">
        <v>21.0</v>
      </c>
    </row>
    <row r="42">
      <c r="A42" s="2">
        <v>39.0</v>
      </c>
      <c r="B42" s="2">
        <v>2022.0</v>
      </c>
      <c r="C42" s="2" t="s">
        <v>14</v>
      </c>
      <c r="D42" s="2">
        <v>21.0</v>
      </c>
    </row>
    <row r="43">
      <c r="A43" s="2">
        <v>39.0</v>
      </c>
      <c r="B43" s="2">
        <v>2026.0</v>
      </c>
      <c r="C43" s="2" t="s">
        <v>6</v>
      </c>
      <c r="D43" s="2">
        <v>21.0</v>
      </c>
    </row>
    <row r="44">
      <c r="A44" s="2">
        <v>39.0</v>
      </c>
      <c r="B44" s="2">
        <v>2026.0</v>
      </c>
      <c r="C44" s="2" t="s">
        <v>17</v>
      </c>
      <c r="D44" s="2">
        <v>22.0</v>
      </c>
    </row>
    <row r="45">
      <c r="A45" s="2">
        <v>44.0</v>
      </c>
      <c r="B45" s="2">
        <v>2026.0</v>
      </c>
      <c r="C45" s="2" t="s">
        <v>11</v>
      </c>
      <c r="D45" s="2">
        <v>22.0</v>
      </c>
    </row>
    <row r="46">
      <c r="A46" s="2">
        <v>44.0</v>
      </c>
      <c r="B46" s="2">
        <v>2026.0</v>
      </c>
      <c r="C46" s="2" t="s">
        <v>4</v>
      </c>
      <c r="D46" s="2">
        <v>22.0</v>
      </c>
    </row>
    <row r="47">
      <c r="A47" s="2">
        <v>44.0</v>
      </c>
      <c r="B47" s="2">
        <v>2026.0</v>
      </c>
      <c r="C47" s="2" t="s">
        <v>24</v>
      </c>
      <c r="D47" s="2">
        <v>22.0</v>
      </c>
    </row>
    <row r="48">
      <c r="A48" s="2">
        <v>44.0</v>
      </c>
      <c r="B48" s="2">
        <v>2023.0</v>
      </c>
      <c r="C48" s="2" t="s">
        <v>18</v>
      </c>
      <c r="D48" s="2">
        <v>22.0</v>
      </c>
    </row>
    <row r="49">
      <c r="A49" s="2">
        <v>48.0</v>
      </c>
      <c r="B49" s="2">
        <v>2022.0</v>
      </c>
      <c r="C49" s="2" t="s">
        <v>25</v>
      </c>
      <c r="D49" s="2">
        <v>22.0</v>
      </c>
    </row>
    <row r="50">
      <c r="A50" s="2">
        <v>48.0</v>
      </c>
      <c r="B50" s="2">
        <v>2026.0</v>
      </c>
      <c r="C50" s="2" t="s">
        <v>11</v>
      </c>
      <c r="D50" s="2">
        <v>23.0</v>
      </c>
    </row>
    <row r="51">
      <c r="A51" s="2">
        <v>48.0</v>
      </c>
      <c r="B51" s="2">
        <v>2025.0</v>
      </c>
      <c r="C51" s="2" t="s">
        <v>4</v>
      </c>
      <c r="D51" s="2">
        <v>23.0</v>
      </c>
    </row>
    <row r="52">
      <c r="A52" s="2">
        <v>48.0</v>
      </c>
      <c r="B52" s="2">
        <v>2025.0</v>
      </c>
      <c r="C52" s="2" t="s">
        <v>16</v>
      </c>
      <c r="D52" s="2">
        <v>23.0</v>
      </c>
    </row>
    <row r="53">
      <c r="A53" s="2">
        <v>48.0</v>
      </c>
      <c r="B53" s="2">
        <v>2024.0</v>
      </c>
      <c r="C53" s="2" t="s">
        <v>16</v>
      </c>
      <c r="D53" s="2">
        <v>23.0</v>
      </c>
    </row>
    <row r="54">
      <c r="A54" s="2">
        <v>53.0</v>
      </c>
      <c r="B54" s="2">
        <v>2023.0</v>
      </c>
      <c r="C54" s="2" t="s">
        <v>26</v>
      </c>
      <c r="D54" s="2">
        <v>23.0</v>
      </c>
    </row>
    <row r="55">
      <c r="A55" s="2">
        <v>53.0</v>
      </c>
      <c r="B55" s="2">
        <v>2018.0</v>
      </c>
      <c r="C55" s="2" t="s">
        <v>27</v>
      </c>
      <c r="D55" s="2">
        <v>23.0</v>
      </c>
    </row>
    <row r="56">
      <c r="A56" s="2">
        <v>53.0</v>
      </c>
      <c r="B56" s="2">
        <v>2024.0</v>
      </c>
      <c r="C56" s="2" t="s">
        <v>4</v>
      </c>
      <c r="D56" s="2">
        <v>23.0</v>
      </c>
    </row>
    <row r="57">
      <c r="A57" s="2">
        <v>56.0</v>
      </c>
      <c r="B57" s="2">
        <v>2024.0</v>
      </c>
      <c r="C57" s="2" t="s">
        <v>4</v>
      </c>
      <c r="D57" s="2">
        <v>23.0</v>
      </c>
    </row>
    <row r="58">
      <c r="A58" s="2">
        <v>56.0</v>
      </c>
      <c r="B58" s="2">
        <v>2026.0</v>
      </c>
      <c r="C58" s="2" t="s">
        <v>19</v>
      </c>
      <c r="D58" s="2">
        <v>24.0</v>
      </c>
    </row>
    <row r="59">
      <c r="A59" s="2">
        <v>56.0</v>
      </c>
      <c r="B59" s="2">
        <v>2026.0</v>
      </c>
      <c r="C59" s="2" t="s">
        <v>4</v>
      </c>
      <c r="D59" s="2">
        <v>24.0</v>
      </c>
    </row>
    <row r="60">
      <c r="A60" s="2">
        <v>59.0</v>
      </c>
      <c r="B60" s="2">
        <v>2024.0</v>
      </c>
      <c r="C60" s="2" t="s">
        <v>4</v>
      </c>
      <c r="D60" s="2">
        <v>24.0</v>
      </c>
    </row>
    <row r="61">
      <c r="A61" s="2">
        <v>59.0</v>
      </c>
      <c r="B61" s="2">
        <v>2024.0</v>
      </c>
      <c r="C61" s="2" t="s">
        <v>4</v>
      </c>
      <c r="D61" s="2">
        <v>24.0</v>
      </c>
    </row>
    <row r="62">
      <c r="A62" s="2">
        <v>59.0</v>
      </c>
      <c r="B62" s="2">
        <v>2023.0</v>
      </c>
      <c r="C62" s="2" t="s">
        <v>12</v>
      </c>
      <c r="D62" s="2">
        <v>25.0</v>
      </c>
    </row>
    <row r="63">
      <c r="A63" s="2">
        <v>59.0</v>
      </c>
      <c r="B63" s="2">
        <v>2025.0</v>
      </c>
      <c r="C63" s="2" t="s">
        <v>9</v>
      </c>
      <c r="D63" s="2">
        <v>25.0</v>
      </c>
    </row>
    <row r="64">
      <c r="A64" s="2">
        <v>63.0</v>
      </c>
      <c r="B64" s="2">
        <v>2025.0</v>
      </c>
      <c r="C64" s="2" t="s">
        <v>4</v>
      </c>
      <c r="D64" s="2">
        <v>25.0</v>
      </c>
    </row>
    <row r="65">
      <c r="A65" s="2">
        <v>63.0</v>
      </c>
      <c r="B65" s="2">
        <v>2025.0</v>
      </c>
      <c r="C65" s="2" t="s">
        <v>28</v>
      </c>
      <c r="D65" s="2">
        <v>25.0</v>
      </c>
    </row>
    <row r="66">
      <c r="A66" s="2">
        <v>65.0</v>
      </c>
      <c r="B66" s="2">
        <v>2026.0</v>
      </c>
      <c r="C66" s="2" t="s">
        <v>24</v>
      </c>
      <c r="D66" s="2">
        <v>26.0</v>
      </c>
    </row>
    <row r="67">
      <c r="A67" s="2">
        <v>65.0</v>
      </c>
      <c r="B67" s="2">
        <v>2026.0</v>
      </c>
      <c r="C67" s="2" t="s">
        <v>24</v>
      </c>
      <c r="D67" s="2">
        <v>26.0</v>
      </c>
    </row>
    <row r="68">
      <c r="A68" s="2">
        <v>65.0</v>
      </c>
      <c r="B68" s="2">
        <v>2024.0</v>
      </c>
      <c r="C68" s="2" t="s">
        <v>7</v>
      </c>
      <c r="D68" s="2">
        <v>26.0</v>
      </c>
    </row>
    <row r="69">
      <c r="A69" s="2">
        <v>65.0</v>
      </c>
      <c r="B69" s="2">
        <v>2024.0</v>
      </c>
      <c r="C69" s="2" t="s">
        <v>4</v>
      </c>
      <c r="D69" s="2">
        <v>26.0</v>
      </c>
    </row>
    <row r="70">
      <c r="A70" s="2">
        <v>69.0</v>
      </c>
      <c r="B70" s="2">
        <v>2026.0</v>
      </c>
      <c r="C70" s="2" t="s">
        <v>29</v>
      </c>
      <c r="D70" s="2">
        <v>26.0</v>
      </c>
    </row>
    <row r="71">
      <c r="A71" s="2">
        <v>69.0</v>
      </c>
      <c r="B71" s="2">
        <v>2026.0</v>
      </c>
      <c r="C71" s="2" t="s">
        <v>28</v>
      </c>
      <c r="D71" s="2">
        <v>27.0</v>
      </c>
    </row>
    <row r="72">
      <c r="A72" s="2">
        <v>71.0</v>
      </c>
      <c r="B72" s="2">
        <v>2026.0</v>
      </c>
      <c r="C72" s="2" t="s">
        <v>4</v>
      </c>
      <c r="D72" s="2">
        <v>27.0</v>
      </c>
    </row>
    <row r="73">
      <c r="A73" s="2">
        <v>71.0</v>
      </c>
      <c r="B73" s="2">
        <v>2026.0</v>
      </c>
      <c r="C73" s="2" t="s">
        <v>4</v>
      </c>
      <c r="D73" s="2">
        <v>27.0</v>
      </c>
    </row>
    <row r="74">
      <c r="A74" s="2">
        <v>71.0</v>
      </c>
      <c r="B74" s="2">
        <v>2026.0</v>
      </c>
      <c r="C74" s="2" t="s">
        <v>4</v>
      </c>
      <c r="D74" s="2">
        <v>27.0</v>
      </c>
    </row>
    <row r="75">
      <c r="A75" s="2">
        <v>74.0</v>
      </c>
      <c r="B75" s="2">
        <v>2024.0</v>
      </c>
      <c r="C75" s="2" t="s">
        <v>4</v>
      </c>
      <c r="D75" s="2">
        <v>27.0</v>
      </c>
    </row>
    <row r="76">
      <c r="A76" s="2">
        <v>74.0</v>
      </c>
      <c r="B76" s="2">
        <v>2024.0</v>
      </c>
      <c r="C76" s="2" t="s">
        <v>4</v>
      </c>
      <c r="D76" s="2">
        <v>27.0</v>
      </c>
    </row>
    <row r="77">
      <c r="A77" s="2">
        <v>74.0</v>
      </c>
      <c r="B77" s="2">
        <v>2024.0</v>
      </c>
      <c r="C77" s="2" t="s">
        <v>4</v>
      </c>
      <c r="D77" s="2">
        <v>27.0</v>
      </c>
    </row>
    <row r="78">
      <c r="A78" s="2">
        <v>77.0</v>
      </c>
      <c r="B78" s="2">
        <v>2024.0</v>
      </c>
      <c r="C78" s="2" t="s">
        <v>6</v>
      </c>
      <c r="D78" s="2">
        <v>27.0</v>
      </c>
    </row>
    <row r="79">
      <c r="A79" s="2">
        <v>77.0</v>
      </c>
      <c r="B79" s="2">
        <v>2025.0</v>
      </c>
      <c r="C79" s="2" t="s">
        <v>28</v>
      </c>
      <c r="D79" s="2">
        <v>27.0</v>
      </c>
    </row>
    <row r="80">
      <c r="A80" s="2">
        <v>79.0</v>
      </c>
      <c r="B80" s="2">
        <v>2025.0</v>
      </c>
      <c r="C80" s="2" t="s">
        <v>20</v>
      </c>
      <c r="D80" s="2">
        <v>27.0</v>
      </c>
    </row>
    <row r="81">
      <c r="A81" s="2">
        <v>79.0</v>
      </c>
      <c r="B81" s="2">
        <v>2025.0</v>
      </c>
      <c r="C81" s="2" t="s">
        <v>28</v>
      </c>
      <c r="D81" s="2">
        <v>27.0</v>
      </c>
    </row>
    <row r="82">
      <c r="A82" s="2">
        <v>81.0</v>
      </c>
      <c r="B82" s="2">
        <v>2026.0</v>
      </c>
      <c r="C82" s="2" t="s">
        <v>13</v>
      </c>
      <c r="D82" s="2">
        <v>28.0</v>
      </c>
    </row>
    <row r="83">
      <c r="A83" s="2">
        <v>81.0</v>
      </c>
      <c r="B83" s="2">
        <v>2026.0</v>
      </c>
      <c r="C83" s="2" t="s">
        <v>29</v>
      </c>
      <c r="D83" s="2">
        <v>28.0</v>
      </c>
    </row>
    <row r="84">
      <c r="A84" s="2">
        <v>81.0</v>
      </c>
      <c r="B84" s="2">
        <v>2026.0</v>
      </c>
      <c r="C84" s="2" t="s">
        <v>30</v>
      </c>
      <c r="D84" s="2">
        <v>28.0</v>
      </c>
    </row>
    <row r="85">
      <c r="A85" s="2">
        <v>84.0</v>
      </c>
      <c r="B85" s="2">
        <v>2023.0</v>
      </c>
      <c r="C85" s="2" t="s">
        <v>16</v>
      </c>
      <c r="D85" s="2">
        <v>28.0</v>
      </c>
    </row>
    <row r="86">
      <c r="A86" s="2">
        <v>84.0</v>
      </c>
      <c r="B86" s="2">
        <v>2023.0</v>
      </c>
      <c r="C86" s="2" t="s">
        <v>31</v>
      </c>
      <c r="D86" s="2">
        <v>28.0</v>
      </c>
    </row>
    <row r="87">
      <c r="A87" s="2">
        <v>86.0</v>
      </c>
      <c r="B87" s="2">
        <v>2022.0</v>
      </c>
      <c r="C87" s="2" t="s">
        <v>32</v>
      </c>
      <c r="D87" s="2">
        <v>28.0</v>
      </c>
    </row>
    <row r="88">
      <c r="A88" s="2">
        <v>86.0</v>
      </c>
      <c r="B88" s="2">
        <v>2026.0</v>
      </c>
      <c r="C88" s="2" t="s">
        <v>24</v>
      </c>
      <c r="D88" s="2">
        <v>28.0</v>
      </c>
    </row>
    <row r="89">
      <c r="A89" s="2">
        <v>86.0</v>
      </c>
      <c r="B89" s="2">
        <v>2026.0</v>
      </c>
      <c r="C89" s="2" t="s">
        <v>11</v>
      </c>
      <c r="D89" s="2">
        <v>29.0</v>
      </c>
    </row>
    <row r="90">
      <c r="A90" s="2">
        <v>89.0</v>
      </c>
      <c r="B90" s="2">
        <v>2026.0</v>
      </c>
      <c r="C90" s="2" t="s">
        <v>4</v>
      </c>
      <c r="D90" s="2">
        <v>29.0</v>
      </c>
    </row>
    <row r="91">
      <c r="A91" s="2">
        <v>89.0</v>
      </c>
      <c r="B91" s="2">
        <v>2026.0</v>
      </c>
      <c r="C91" s="2" t="s">
        <v>4</v>
      </c>
      <c r="D91" s="2">
        <v>29.0</v>
      </c>
    </row>
    <row r="92">
      <c r="A92" s="2">
        <v>89.0</v>
      </c>
      <c r="B92" s="2">
        <v>2023.0</v>
      </c>
      <c r="C92" s="2" t="s">
        <v>12</v>
      </c>
      <c r="D92" s="2">
        <v>29.0</v>
      </c>
    </row>
    <row r="93">
      <c r="A93" s="2">
        <v>92.0</v>
      </c>
      <c r="B93" s="2">
        <v>2020.0</v>
      </c>
      <c r="C93" s="2" t="s">
        <v>14</v>
      </c>
      <c r="D93" s="2">
        <v>29.0</v>
      </c>
    </row>
    <row r="94">
      <c r="A94" s="4">
        <v>92.0</v>
      </c>
      <c r="B94" s="2">
        <v>2024.0</v>
      </c>
      <c r="C94" s="2" t="s">
        <v>8</v>
      </c>
      <c r="D94" s="2">
        <v>29.0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16.38"/>
    <col customWidth="1" min="3" max="3" width="14.13"/>
    <col customWidth="1" min="4" max="4" width="11.63"/>
  </cols>
  <sheetData>
    <row r="1">
      <c r="A1" s="5" t="s">
        <v>33</v>
      </c>
      <c r="B1" s="6"/>
      <c r="C1" s="6"/>
      <c r="D1" s="6"/>
    </row>
    <row r="2">
      <c r="A2" s="7" t="s">
        <v>34</v>
      </c>
      <c r="B2" s="8"/>
      <c r="C2" s="8"/>
      <c r="D2" s="9"/>
    </row>
    <row r="3">
      <c r="A3" s="10" t="s">
        <v>0</v>
      </c>
      <c r="B3" s="10" t="s">
        <v>2</v>
      </c>
      <c r="C3" s="11" t="s">
        <v>35</v>
      </c>
      <c r="D3" s="10" t="s">
        <v>34</v>
      </c>
    </row>
    <row r="4">
      <c r="A4" s="12">
        <v>1.0</v>
      </c>
      <c r="B4" s="13" t="s">
        <v>16</v>
      </c>
      <c r="C4" s="13" t="s">
        <v>36</v>
      </c>
      <c r="D4" s="13">
        <v>85.0</v>
      </c>
    </row>
    <row r="5">
      <c r="A5" s="14">
        <v>2.0</v>
      </c>
      <c r="B5" s="15" t="s">
        <v>29</v>
      </c>
      <c r="C5" s="15" t="s">
        <v>37</v>
      </c>
      <c r="D5" s="15">
        <v>82.0</v>
      </c>
    </row>
    <row r="6">
      <c r="A6" s="13">
        <v>3.0</v>
      </c>
      <c r="B6" s="13" t="s">
        <v>38</v>
      </c>
      <c r="C6" s="13" t="s">
        <v>36</v>
      </c>
      <c r="D6" s="16">
        <v>81.0</v>
      </c>
    </row>
    <row r="7">
      <c r="A7" s="14">
        <v>4.0</v>
      </c>
      <c r="B7" s="17" t="s">
        <v>17</v>
      </c>
      <c r="C7" s="15" t="s">
        <v>37</v>
      </c>
      <c r="D7" s="15">
        <v>74.0</v>
      </c>
    </row>
    <row r="8">
      <c r="A8" s="12">
        <v>5.0</v>
      </c>
      <c r="B8" s="13" t="s">
        <v>15</v>
      </c>
      <c r="C8" s="13" t="s">
        <v>39</v>
      </c>
      <c r="D8" s="13">
        <v>65.0</v>
      </c>
    </row>
    <row r="9">
      <c r="A9" s="18" t="s">
        <v>40</v>
      </c>
      <c r="B9" s="8"/>
      <c r="C9" s="19"/>
      <c r="D9" s="20"/>
    </row>
    <row r="10">
      <c r="A10" s="10" t="s">
        <v>0</v>
      </c>
      <c r="B10" s="10" t="s">
        <v>2</v>
      </c>
      <c r="C10" s="21" t="s">
        <v>35</v>
      </c>
      <c r="D10" s="10" t="s">
        <v>41</v>
      </c>
    </row>
    <row r="11">
      <c r="A11" s="13">
        <v>1.0</v>
      </c>
      <c r="B11" s="22" t="s">
        <v>15</v>
      </c>
      <c r="C11" s="23" t="s">
        <v>39</v>
      </c>
      <c r="D11" s="24">
        <v>0.72</v>
      </c>
    </row>
    <row r="12">
      <c r="A12" s="25">
        <v>1.0</v>
      </c>
      <c r="B12" s="26" t="s">
        <v>12</v>
      </c>
      <c r="C12" s="26" t="s">
        <v>39</v>
      </c>
      <c r="D12" s="27">
        <v>0.72</v>
      </c>
    </row>
    <row r="13">
      <c r="A13" s="13">
        <v>3.0</v>
      </c>
      <c r="B13" s="13" t="s">
        <v>9</v>
      </c>
      <c r="C13" s="13" t="s">
        <v>42</v>
      </c>
      <c r="D13" s="24">
        <v>0.7</v>
      </c>
    </row>
    <row r="14">
      <c r="A14" s="25">
        <v>4.0</v>
      </c>
      <c r="B14" s="25" t="s">
        <v>7</v>
      </c>
      <c r="C14" s="25" t="s">
        <v>43</v>
      </c>
      <c r="D14" s="27">
        <v>0.67</v>
      </c>
    </row>
    <row r="15">
      <c r="A15" s="13">
        <v>5.0</v>
      </c>
      <c r="B15" s="13" t="s">
        <v>16</v>
      </c>
      <c r="C15" s="13" t="s">
        <v>36</v>
      </c>
      <c r="D15" s="24">
        <v>0.66</v>
      </c>
    </row>
    <row r="16">
      <c r="A16" s="25">
        <v>5.0</v>
      </c>
      <c r="B16" s="25" t="s">
        <v>44</v>
      </c>
      <c r="C16" s="25" t="s">
        <v>45</v>
      </c>
      <c r="D16" s="28">
        <v>0.66</v>
      </c>
    </row>
    <row r="17">
      <c r="A17" s="7" t="s">
        <v>46</v>
      </c>
      <c r="B17" s="8"/>
      <c r="C17" s="8"/>
      <c r="D17" s="9"/>
    </row>
    <row r="18">
      <c r="A18" s="10" t="s">
        <v>0</v>
      </c>
      <c r="B18" s="10" t="s">
        <v>2</v>
      </c>
      <c r="C18" s="10" t="s">
        <v>35</v>
      </c>
      <c r="D18" s="10" t="s">
        <v>46</v>
      </c>
    </row>
    <row r="19">
      <c r="A19" s="29">
        <v>1.0</v>
      </c>
      <c r="B19" s="30" t="s">
        <v>29</v>
      </c>
      <c r="C19" s="30" t="s">
        <v>47</v>
      </c>
      <c r="D19" s="30">
        <v>122.0</v>
      </c>
    </row>
    <row r="20">
      <c r="A20" s="25">
        <v>2.0</v>
      </c>
      <c r="B20" s="25" t="s">
        <v>38</v>
      </c>
      <c r="C20" s="25" t="s">
        <v>36</v>
      </c>
      <c r="D20" s="31">
        <v>120.0</v>
      </c>
    </row>
    <row r="21">
      <c r="A21" s="12">
        <v>3.0</v>
      </c>
      <c r="B21" s="13" t="s">
        <v>16</v>
      </c>
      <c r="C21" s="13" t="s">
        <v>36</v>
      </c>
      <c r="D21" s="13">
        <v>111.0</v>
      </c>
    </row>
    <row r="22">
      <c r="A22" s="28">
        <v>4.0</v>
      </c>
      <c r="B22" s="25" t="s">
        <v>15</v>
      </c>
      <c r="C22" s="25" t="s">
        <v>39</v>
      </c>
      <c r="D22" s="25">
        <v>96.0</v>
      </c>
    </row>
    <row r="23" ht="15.0" customHeight="1">
      <c r="A23" s="29">
        <v>5.0</v>
      </c>
      <c r="B23" s="30" t="s">
        <v>17</v>
      </c>
      <c r="C23" s="30" t="s">
        <v>47</v>
      </c>
      <c r="D23" s="30">
        <v>77.0</v>
      </c>
    </row>
    <row r="24" ht="15.0" customHeight="1">
      <c r="A24" s="28">
        <v>5.0</v>
      </c>
      <c r="B24" s="25" t="s">
        <v>44</v>
      </c>
      <c r="C24" s="25" t="s">
        <v>45</v>
      </c>
      <c r="D24" s="25">
        <v>77.0</v>
      </c>
    </row>
    <row r="25">
      <c r="A25" s="7" t="s">
        <v>48</v>
      </c>
      <c r="B25" s="32"/>
      <c r="C25" s="32"/>
      <c r="D25" s="20"/>
    </row>
    <row r="26">
      <c r="A26" s="10" t="s">
        <v>0</v>
      </c>
      <c r="B26" s="10" t="s">
        <v>2</v>
      </c>
      <c r="C26" s="10" t="s">
        <v>35</v>
      </c>
      <c r="D26" s="10" t="s">
        <v>48</v>
      </c>
    </row>
    <row r="27">
      <c r="A27" s="12">
        <v>1.0</v>
      </c>
      <c r="B27" s="13" t="s">
        <v>16</v>
      </c>
      <c r="C27" s="13" t="s">
        <v>36</v>
      </c>
      <c r="D27" s="13">
        <v>60.0</v>
      </c>
    </row>
    <row r="28">
      <c r="A28" s="28">
        <v>2.0</v>
      </c>
      <c r="B28" s="25" t="s">
        <v>38</v>
      </c>
      <c r="C28" s="25" t="s">
        <v>36</v>
      </c>
      <c r="D28" s="31">
        <v>53.0</v>
      </c>
    </row>
    <row r="29">
      <c r="A29" s="13">
        <v>3.0</v>
      </c>
      <c r="B29" s="13" t="s">
        <v>7</v>
      </c>
      <c r="C29" s="13" t="s">
        <v>43</v>
      </c>
      <c r="D29" s="13">
        <v>49.0</v>
      </c>
    </row>
    <row r="30">
      <c r="A30" s="14">
        <v>4.0</v>
      </c>
      <c r="B30" s="15" t="s">
        <v>17</v>
      </c>
      <c r="C30" s="15" t="s">
        <v>47</v>
      </c>
      <c r="D30" s="15">
        <v>47.0</v>
      </c>
    </row>
    <row r="31">
      <c r="A31" s="29">
        <v>5.0</v>
      </c>
      <c r="B31" s="30" t="s">
        <v>29</v>
      </c>
      <c r="C31" s="30" t="s">
        <v>47</v>
      </c>
      <c r="D31" s="30">
        <v>46.0</v>
      </c>
    </row>
    <row r="32">
      <c r="A32" s="28">
        <v>5.0</v>
      </c>
      <c r="B32" s="25" t="s">
        <v>15</v>
      </c>
      <c r="C32" s="25" t="s">
        <v>47</v>
      </c>
      <c r="D32" s="25">
        <v>46.0</v>
      </c>
    </row>
    <row r="33">
      <c r="A33" s="33" t="s">
        <v>49</v>
      </c>
      <c r="B33" s="32"/>
      <c r="C33" s="32"/>
      <c r="D33" s="20"/>
    </row>
    <row r="34">
      <c r="A34" s="28" t="s">
        <v>0</v>
      </c>
      <c r="B34" s="28" t="s">
        <v>2</v>
      </c>
      <c r="C34" s="25" t="s">
        <v>35</v>
      </c>
      <c r="D34" s="28" t="s">
        <v>49</v>
      </c>
    </row>
    <row r="35">
      <c r="A35" s="13">
        <v>1.0</v>
      </c>
      <c r="B35" s="34" t="s">
        <v>7</v>
      </c>
      <c r="C35" s="35" t="s">
        <v>50</v>
      </c>
      <c r="D35" s="13">
        <v>2.0</v>
      </c>
    </row>
    <row r="36">
      <c r="A36" s="15">
        <v>2.0</v>
      </c>
      <c r="B36" s="36" t="s">
        <v>29</v>
      </c>
      <c r="C36" s="15" t="s">
        <v>47</v>
      </c>
      <c r="D36" s="15">
        <v>1.0</v>
      </c>
    </row>
    <row r="37">
      <c r="A37" s="13">
        <v>2.0</v>
      </c>
      <c r="B37" s="34" t="s">
        <v>38</v>
      </c>
      <c r="C37" s="35" t="s">
        <v>50</v>
      </c>
      <c r="D37" s="13">
        <v>1.0</v>
      </c>
    </row>
    <row r="38">
      <c r="A38" s="25">
        <v>2.0</v>
      </c>
      <c r="B38" s="37" t="s">
        <v>15</v>
      </c>
      <c r="C38" s="37" t="s">
        <v>51</v>
      </c>
      <c r="D38" s="25">
        <v>1.0</v>
      </c>
    </row>
    <row r="39">
      <c r="A39" s="18" t="s">
        <v>52</v>
      </c>
      <c r="B39" s="8"/>
      <c r="C39" s="8"/>
      <c r="D39" s="9"/>
    </row>
    <row r="40">
      <c r="A40" s="10" t="s">
        <v>0</v>
      </c>
      <c r="B40" s="10" t="s">
        <v>2</v>
      </c>
      <c r="C40" s="11" t="s">
        <v>35</v>
      </c>
      <c r="D40" s="10" t="s">
        <v>52</v>
      </c>
    </row>
    <row r="41">
      <c r="A41" s="13">
        <v>1.0</v>
      </c>
      <c r="B41" s="13" t="s">
        <v>16</v>
      </c>
      <c r="C41" s="13" t="s">
        <v>36</v>
      </c>
      <c r="D41" s="13">
        <v>452.0</v>
      </c>
    </row>
    <row r="42">
      <c r="A42" s="25">
        <v>2.0</v>
      </c>
      <c r="B42" s="25" t="s">
        <v>38</v>
      </c>
      <c r="C42" s="25" t="s">
        <v>36</v>
      </c>
      <c r="D42" s="31">
        <v>451.5</v>
      </c>
    </row>
    <row r="43">
      <c r="A43" s="30">
        <v>3.0</v>
      </c>
      <c r="B43" s="30" t="s">
        <v>17</v>
      </c>
      <c r="C43" s="30" t="s">
        <v>47</v>
      </c>
      <c r="D43" s="30">
        <v>364.0</v>
      </c>
    </row>
    <row r="44">
      <c r="A44" s="15">
        <v>4.0</v>
      </c>
      <c r="B44" s="15" t="s">
        <v>29</v>
      </c>
      <c r="C44" s="15" t="s">
        <v>47</v>
      </c>
      <c r="D44" s="15">
        <v>360.0</v>
      </c>
    </row>
    <row r="45">
      <c r="A45" s="13">
        <v>5.0</v>
      </c>
      <c r="B45" s="13" t="s">
        <v>15</v>
      </c>
      <c r="C45" s="13" t="s">
        <v>39</v>
      </c>
      <c r="D45" s="13">
        <v>350.0</v>
      </c>
    </row>
    <row r="46">
      <c r="A46" s="7" t="s">
        <v>53</v>
      </c>
      <c r="B46" s="8"/>
      <c r="C46" s="8"/>
      <c r="D46" s="9"/>
    </row>
    <row r="47">
      <c r="A47" s="10" t="s">
        <v>0</v>
      </c>
      <c r="B47" s="10" t="s">
        <v>2</v>
      </c>
      <c r="C47" s="10" t="s">
        <v>35</v>
      </c>
      <c r="D47" s="10" t="s">
        <v>54</v>
      </c>
    </row>
    <row r="48">
      <c r="A48" s="29">
        <v>1.0</v>
      </c>
      <c r="B48" s="30" t="s">
        <v>29</v>
      </c>
      <c r="C48" s="30" t="s">
        <v>47</v>
      </c>
      <c r="D48" s="30">
        <v>131.0</v>
      </c>
    </row>
    <row r="49">
      <c r="A49" s="25">
        <v>2.0</v>
      </c>
      <c r="B49" s="25" t="s">
        <v>15</v>
      </c>
      <c r="C49" s="25" t="s">
        <v>39</v>
      </c>
      <c r="D49" s="25">
        <v>111.0</v>
      </c>
    </row>
    <row r="50">
      <c r="A50" s="12">
        <v>3.0</v>
      </c>
      <c r="B50" s="13" t="s">
        <v>38</v>
      </c>
      <c r="C50" s="13" t="s">
        <v>36</v>
      </c>
      <c r="D50" s="16">
        <v>108.0</v>
      </c>
    </row>
    <row r="51">
      <c r="A51" s="28">
        <v>4.0</v>
      </c>
      <c r="B51" s="25" t="s">
        <v>16</v>
      </c>
      <c r="C51" s="25" t="s">
        <v>36</v>
      </c>
      <c r="D51" s="25">
        <v>101.0</v>
      </c>
    </row>
    <row r="52">
      <c r="A52" s="12">
        <v>5.0</v>
      </c>
      <c r="B52" s="13" t="s">
        <v>7</v>
      </c>
      <c r="C52" s="13" t="s">
        <v>55</v>
      </c>
      <c r="D52" s="13">
        <v>65.0</v>
      </c>
    </row>
  </sheetData>
  <mergeCells count="7">
    <mergeCell ref="A2:D2"/>
    <mergeCell ref="A9:D9"/>
    <mergeCell ref="A17:D17"/>
    <mergeCell ref="A25:D25"/>
    <mergeCell ref="A33:D33"/>
    <mergeCell ref="A39:D39"/>
    <mergeCell ref="A46:D46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75"/>
    <col customWidth="1" min="2" max="2" width="14.88"/>
    <col customWidth="1" min="3" max="3" width="7.13"/>
    <col customWidth="1" min="4" max="4" width="11.75"/>
  </cols>
  <sheetData>
    <row r="1">
      <c r="A1" s="38" t="s">
        <v>33</v>
      </c>
      <c r="B1" s="39"/>
      <c r="C1" s="39"/>
      <c r="D1" s="39"/>
    </row>
    <row r="2">
      <c r="A2" s="18" t="s">
        <v>34</v>
      </c>
      <c r="B2" s="8"/>
      <c r="C2" s="8"/>
      <c r="D2" s="9"/>
    </row>
    <row r="3">
      <c r="A3" s="11" t="s">
        <v>0</v>
      </c>
      <c r="B3" s="11" t="s">
        <v>2</v>
      </c>
      <c r="C3" s="11" t="s">
        <v>56</v>
      </c>
      <c r="D3" s="11" t="s">
        <v>34</v>
      </c>
    </row>
    <row r="4">
      <c r="A4" s="13">
        <v>1.0</v>
      </c>
      <c r="B4" s="30" t="s">
        <v>6</v>
      </c>
      <c r="C4" s="30" t="s">
        <v>37</v>
      </c>
      <c r="D4" s="30">
        <v>45.0</v>
      </c>
    </row>
    <row r="5">
      <c r="A5" s="25">
        <v>2.0</v>
      </c>
      <c r="B5" s="15" t="s">
        <v>4</v>
      </c>
      <c r="C5" s="15" t="s">
        <v>37</v>
      </c>
      <c r="D5" s="15">
        <v>44.0</v>
      </c>
    </row>
    <row r="6">
      <c r="A6" s="13">
        <v>3.0</v>
      </c>
      <c r="B6" s="30" t="s">
        <v>29</v>
      </c>
      <c r="C6" s="30" t="s">
        <v>37</v>
      </c>
      <c r="D6" s="30">
        <v>40.0</v>
      </c>
    </row>
    <row r="7">
      <c r="A7" s="25">
        <v>4.0</v>
      </c>
      <c r="B7" s="15" t="s">
        <v>28</v>
      </c>
      <c r="C7" s="15" t="s">
        <v>37</v>
      </c>
      <c r="D7" s="15">
        <v>36.0</v>
      </c>
    </row>
    <row r="8">
      <c r="A8" s="13">
        <v>5.0</v>
      </c>
      <c r="B8" s="13" t="s">
        <v>15</v>
      </c>
      <c r="C8" s="13" t="s">
        <v>37</v>
      </c>
      <c r="D8" s="13">
        <v>35.0</v>
      </c>
    </row>
    <row r="9">
      <c r="A9" s="18" t="s">
        <v>40</v>
      </c>
      <c r="B9" s="32"/>
      <c r="C9" s="32"/>
      <c r="D9" s="9"/>
    </row>
    <row r="10">
      <c r="A10" s="11" t="s">
        <v>0</v>
      </c>
      <c r="B10" s="11" t="s">
        <v>2</v>
      </c>
      <c r="C10" s="11" t="s">
        <v>56</v>
      </c>
      <c r="D10" s="11" t="s">
        <v>41</v>
      </c>
    </row>
    <row r="11">
      <c r="A11" s="40">
        <v>1.0</v>
      </c>
      <c r="B11" s="30" t="s">
        <v>6</v>
      </c>
      <c r="C11" s="30" t="s">
        <v>37</v>
      </c>
      <c r="D11" s="30">
        <v>0.94</v>
      </c>
    </row>
    <row r="12">
      <c r="A12" s="41">
        <v>2.0</v>
      </c>
      <c r="B12" s="25" t="s">
        <v>57</v>
      </c>
      <c r="C12" s="41" t="s">
        <v>58</v>
      </c>
      <c r="D12" s="25">
        <v>0.85</v>
      </c>
    </row>
    <row r="13">
      <c r="A13" s="22">
        <v>3.0</v>
      </c>
      <c r="B13" s="13" t="s">
        <v>6</v>
      </c>
      <c r="C13" s="13" t="s">
        <v>50</v>
      </c>
      <c r="D13" s="42">
        <v>0.8461538461538463</v>
      </c>
    </row>
    <row r="14">
      <c r="A14" s="41">
        <v>4.0</v>
      </c>
      <c r="B14" s="25" t="s">
        <v>4</v>
      </c>
      <c r="C14" s="25" t="s">
        <v>50</v>
      </c>
      <c r="D14" s="43">
        <v>0.8333333333333333</v>
      </c>
    </row>
    <row r="15">
      <c r="A15" s="13">
        <v>5.0</v>
      </c>
      <c r="B15" s="13" t="s">
        <v>12</v>
      </c>
      <c r="C15" s="22" t="s">
        <v>58</v>
      </c>
      <c r="D15" s="13">
        <v>0.81</v>
      </c>
    </row>
    <row r="16">
      <c r="A16" s="18" t="s">
        <v>46</v>
      </c>
      <c r="B16" s="8"/>
      <c r="C16" s="8"/>
      <c r="D16" s="9"/>
    </row>
    <row r="17">
      <c r="A17" s="11" t="s">
        <v>0</v>
      </c>
      <c r="B17" s="11" t="s">
        <v>2</v>
      </c>
      <c r="C17" s="11" t="s">
        <v>56</v>
      </c>
      <c r="D17" s="11" t="s">
        <v>46</v>
      </c>
    </row>
    <row r="18">
      <c r="A18" s="30">
        <v>1.0</v>
      </c>
      <c r="B18" s="44" t="s">
        <v>6</v>
      </c>
      <c r="C18" s="17" t="s">
        <v>37</v>
      </c>
      <c r="D18" s="44">
        <v>83.0</v>
      </c>
    </row>
    <row r="19">
      <c r="A19" s="15">
        <v>2.0</v>
      </c>
      <c r="B19" s="15" t="s">
        <v>29</v>
      </c>
      <c r="C19" s="17" t="s">
        <v>37</v>
      </c>
      <c r="D19" s="15">
        <v>69.0</v>
      </c>
    </row>
    <row r="20">
      <c r="A20" s="30">
        <v>3.0</v>
      </c>
      <c r="B20" s="30" t="s">
        <v>4</v>
      </c>
      <c r="C20" s="17" t="s">
        <v>37</v>
      </c>
      <c r="D20" s="30">
        <v>49.0</v>
      </c>
    </row>
    <row r="21">
      <c r="A21" s="25">
        <v>4.0</v>
      </c>
      <c r="B21" s="25" t="s">
        <v>4</v>
      </c>
      <c r="C21" s="25" t="s">
        <v>58</v>
      </c>
      <c r="D21" s="25">
        <v>46.0</v>
      </c>
    </row>
    <row r="22">
      <c r="A22" s="30">
        <v>5.0</v>
      </c>
      <c r="B22" s="30" t="s">
        <v>28</v>
      </c>
      <c r="C22" s="17" t="s">
        <v>37</v>
      </c>
      <c r="D22" s="30">
        <v>44.0</v>
      </c>
    </row>
    <row r="23">
      <c r="A23" s="25">
        <v>5.0</v>
      </c>
      <c r="B23" s="45" t="s">
        <v>15</v>
      </c>
      <c r="C23" s="46" t="s">
        <v>58</v>
      </c>
      <c r="D23" s="45">
        <v>44.0</v>
      </c>
    </row>
    <row r="24">
      <c r="A24" s="18" t="s">
        <v>48</v>
      </c>
      <c r="B24" s="8"/>
      <c r="C24" s="8"/>
      <c r="D24" s="9"/>
    </row>
    <row r="25">
      <c r="A25" s="11" t="s">
        <v>0</v>
      </c>
      <c r="B25" s="11" t="s">
        <v>2</v>
      </c>
      <c r="C25" s="11" t="s">
        <v>56</v>
      </c>
      <c r="D25" s="11" t="s">
        <v>48</v>
      </c>
    </row>
    <row r="26">
      <c r="A26" s="30">
        <v>1.0</v>
      </c>
      <c r="B26" s="47" t="s">
        <v>4</v>
      </c>
      <c r="C26" s="17" t="s">
        <v>37</v>
      </c>
      <c r="D26" s="47">
        <v>37.0</v>
      </c>
    </row>
    <row r="27">
      <c r="A27" s="15">
        <v>2.0</v>
      </c>
      <c r="B27" s="47" t="s">
        <v>6</v>
      </c>
      <c r="C27" s="17" t="s">
        <v>37</v>
      </c>
      <c r="D27" s="47">
        <v>29.0</v>
      </c>
    </row>
    <row r="28">
      <c r="A28" s="13">
        <v>4.0</v>
      </c>
      <c r="B28" s="13" t="s">
        <v>4</v>
      </c>
      <c r="C28" s="13" t="s">
        <v>59</v>
      </c>
      <c r="D28" s="13">
        <v>27.0</v>
      </c>
    </row>
    <row r="29">
      <c r="A29" s="25">
        <v>4.0</v>
      </c>
      <c r="B29" s="25" t="s">
        <v>7</v>
      </c>
      <c r="C29" s="25" t="s">
        <v>50</v>
      </c>
      <c r="D29" s="25">
        <v>26.0</v>
      </c>
    </row>
    <row r="30">
      <c r="A30" s="30">
        <v>5.0</v>
      </c>
      <c r="B30" s="47" t="s">
        <v>29</v>
      </c>
      <c r="C30" s="17" t="s">
        <v>37</v>
      </c>
      <c r="D30" s="47">
        <v>25.0</v>
      </c>
    </row>
    <row r="31">
      <c r="A31" s="18" t="s">
        <v>49</v>
      </c>
      <c r="B31" s="8"/>
      <c r="C31" s="8"/>
      <c r="D31" s="9"/>
    </row>
    <row r="32">
      <c r="A32" s="48" t="s">
        <v>0</v>
      </c>
      <c r="B32" s="48" t="s">
        <v>2</v>
      </c>
      <c r="C32" s="21" t="s">
        <v>56</v>
      </c>
      <c r="D32" s="48" t="s">
        <v>49</v>
      </c>
    </row>
    <row r="33">
      <c r="A33" s="30">
        <v>1.0</v>
      </c>
      <c r="B33" s="49" t="s">
        <v>6</v>
      </c>
      <c r="C33" s="30" t="s">
        <v>37</v>
      </c>
      <c r="D33" s="49">
        <v>3.0</v>
      </c>
    </row>
    <row r="34">
      <c r="A34" s="17">
        <v>1.0</v>
      </c>
      <c r="B34" s="47" t="s">
        <v>28</v>
      </c>
      <c r="C34" s="17" t="s">
        <v>37</v>
      </c>
      <c r="D34" s="47">
        <v>3.0</v>
      </c>
    </row>
    <row r="35">
      <c r="A35" s="13">
        <v>1.0</v>
      </c>
      <c r="B35" s="50" t="s">
        <v>6</v>
      </c>
      <c r="C35" s="13" t="s">
        <v>50</v>
      </c>
      <c r="D35" s="13">
        <v>3.0</v>
      </c>
    </row>
    <row r="36">
      <c r="A36" s="51">
        <v>4.0</v>
      </c>
      <c r="B36" s="52" t="s">
        <v>7</v>
      </c>
      <c r="C36" s="51" t="s">
        <v>50</v>
      </c>
      <c r="D36" s="51">
        <v>2.0</v>
      </c>
    </row>
    <row r="37">
      <c r="A37" s="30">
        <v>5.0</v>
      </c>
      <c r="B37" s="49" t="s">
        <v>4</v>
      </c>
      <c r="C37" s="30" t="s">
        <v>37</v>
      </c>
      <c r="D37" s="49">
        <v>1.0</v>
      </c>
    </row>
    <row r="38">
      <c r="A38" s="15">
        <v>5.0</v>
      </c>
      <c r="B38" s="47" t="s">
        <v>29</v>
      </c>
      <c r="C38" s="17" t="s">
        <v>37</v>
      </c>
      <c r="D38" s="47">
        <v>1.0</v>
      </c>
    </row>
    <row r="39">
      <c r="A39" s="13">
        <v>5.0</v>
      </c>
      <c r="B39" s="50" t="s">
        <v>38</v>
      </c>
      <c r="C39" s="13" t="s">
        <v>50</v>
      </c>
      <c r="D39" s="13">
        <v>1.0</v>
      </c>
    </row>
    <row r="40">
      <c r="A40" s="25">
        <v>5.0</v>
      </c>
      <c r="B40" s="52" t="s">
        <v>4</v>
      </c>
      <c r="C40" s="51" t="s">
        <v>50</v>
      </c>
      <c r="D40" s="51">
        <v>1.0</v>
      </c>
    </row>
    <row r="41">
      <c r="A41" s="13">
        <v>5.0</v>
      </c>
      <c r="B41" s="13" t="s">
        <v>15</v>
      </c>
      <c r="C41" s="13" t="s">
        <v>51</v>
      </c>
      <c r="D41" s="13">
        <v>1.0</v>
      </c>
    </row>
    <row r="42">
      <c r="A42" s="18" t="s">
        <v>52</v>
      </c>
      <c r="B42" s="8"/>
      <c r="C42" s="8"/>
      <c r="D42" s="9"/>
    </row>
    <row r="43">
      <c r="A43" s="11" t="s">
        <v>0</v>
      </c>
      <c r="B43" s="11" t="s">
        <v>2</v>
      </c>
      <c r="C43" s="11" t="s">
        <v>56</v>
      </c>
      <c r="D43" s="11" t="s">
        <v>52</v>
      </c>
    </row>
    <row r="44">
      <c r="A44" s="30">
        <v>1.0</v>
      </c>
      <c r="B44" s="30" t="s">
        <v>4</v>
      </c>
      <c r="C44" s="30" t="s">
        <v>37</v>
      </c>
      <c r="D44" s="30">
        <v>227.0</v>
      </c>
    </row>
    <row r="45">
      <c r="A45" s="15">
        <v>2.0</v>
      </c>
      <c r="B45" s="17" t="s">
        <v>6</v>
      </c>
      <c r="C45" s="17" t="s">
        <v>37</v>
      </c>
      <c r="D45" s="17">
        <v>202.0</v>
      </c>
    </row>
    <row r="46">
      <c r="A46" s="13">
        <v>3.0</v>
      </c>
      <c r="B46" s="13" t="s">
        <v>15</v>
      </c>
      <c r="C46" s="13" t="s">
        <v>58</v>
      </c>
      <c r="D46" s="13">
        <v>197.0</v>
      </c>
    </row>
    <row r="47">
      <c r="A47" s="15">
        <v>4.0</v>
      </c>
      <c r="B47" s="17" t="s">
        <v>29</v>
      </c>
      <c r="C47" s="17" t="s">
        <v>37</v>
      </c>
      <c r="D47" s="17">
        <v>183.0</v>
      </c>
    </row>
    <row r="48">
      <c r="A48" s="13">
        <v>5.0</v>
      </c>
      <c r="B48" s="13" t="s">
        <v>4</v>
      </c>
      <c r="C48" s="13" t="s">
        <v>59</v>
      </c>
      <c r="D48" s="13">
        <v>180.0</v>
      </c>
    </row>
    <row r="49">
      <c r="A49" s="18" t="s">
        <v>60</v>
      </c>
      <c r="B49" s="8"/>
      <c r="C49" s="8"/>
      <c r="D49" s="9"/>
    </row>
    <row r="50">
      <c r="A50" s="11" t="s">
        <v>0</v>
      </c>
      <c r="B50" s="11" t="s">
        <v>2</v>
      </c>
      <c r="C50" s="11" t="s">
        <v>56</v>
      </c>
      <c r="D50" s="11" t="s">
        <v>54</v>
      </c>
    </row>
    <row r="51">
      <c r="A51" s="30">
        <v>1.0</v>
      </c>
      <c r="B51" s="49" t="s">
        <v>28</v>
      </c>
      <c r="C51" s="30" t="s">
        <v>37</v>
      </c>
      <c r="D51" s="53">
        <v>66.0</v>
      </c>
    </row>
    <row r="52">
      <c r="A52" s="15">
        <v>2.0</v>
      </c>
      <c r="B52" s="54" t="s">
        <v>29</v>
      </c>
      <c r="C52" s="15" t="s">
        <v>37</v>
      </c>
      <c r="D52" s="55">
        <v>56.0</v>
      </c>
    </row>
    <row r="53">
      <c r="A53" s="30">
        <v>3.0</v>
      </c>
      <c r="B53" s="49" t="s">
        <v>13</v>
      </c>
      <c r="C53" s="30" t="s">
        <v>37</v>
      </c>
      <c r="D53" s="53">
        <v>56.0</v>
      </c>
    </row>
    <row r="54">
      <c r="A54" s="25">
        <v>5.0</v>
      </c>
      <c r="B54" s="25" t="s">
        <v>29</v>
      </c>
      <c r="C54" s="25" t="s">
        <v>50</v>
      </c>
      <c r="D54" s="25">
        <v>50.0</v>
      </c>
    </row>
    <row r="55">
      <c r="A55" s="13">
        <v>5.0</v>
      </c>
      <c r="B55" s="13" t="s">
        <v>15</v>
      </c>
      <c r="C55" s="13" t="s">
        <v>58</v>
      </c>
      <c r="D55" s="13">
        <v>49.0</v>
      </c>
    </row>
  </sheetData>
  <mergeCells count="7">
    <mergeCell ref="A2:D2"/>
    <mergeCell ref="A9:D9"/>
    <mergeCell ref="A16:D16"/>
    <mergeCell ref="A24:D24"/>
    <mergeCell ref="A31:D31"/>
    <mergeCell ref="A42:D42"/>
    <mergeCell ref="A49:D49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12.63"/>
    <col customWidth="1" min="3" max="3" width="7.25"/>
    <col customWidth="1" min="4" max="4" width="4.25"/>
    <col customWidth="1" min="5" max="5" width="4.5"/>
    <col customWidth="1" hidden="1" min="6" max="6" width="6.13"/>
    <col customWidth="1" min="7" max="7" width="6.25"/>
    <col customWidth="1" min="8" max="9" width="3.25"/>
    <col customWidth="1" min="10" max="15" width="4.75"/>
    <col customWidth="1" min="16" max="17" width="3.88"/>
    <col customWidth="1" min="18" max="19" width="4.63"/>
    <col customWidth="1" min="20" max="25" width="4.88"/>
    <col customWidth="1" hidden="1" min="26" max="27" width="4.88"/>
    <col customWidth="1" hidden="1" min="28" max="28" width="5.0"/>
    <col customWidth="1" hidden="1" min="29" max="29" width="6.13"/>
    <col customWidth="1" hidden="1" min="30" max="30" width="4.5"/>
    <col customWidth="1" hidden="1" min="31" max="31" width="5.75"/>
    <col customWidth="1" hidden="1" min="32" max="32" width="4.5"/>
    <col customWidth="1" hidden="1" min="33" max="33" width="6.13"/>
    <col customWidth="1" hidden="1" min="34" max="34" width="6.63"/>
    <col customWidth="1" hidden="1" min="35" max="35" width="7.88"/>
    <col customWidth="1" min="36" max="37" width="8.88"/>
    <col customWidth="1" min="38" max="38" width="9.75"/>
  </cols>
  <sheetData>
    <row r="1">
      <c r="A1" s="56" t="s">
        <v>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9"/>
    </row>
    <row r="2" ht="15.75" customHeight="1">
      <c r="A2" s="57" t="s">
        <v>2</v>
      </c>
      <c r="B2" s="58" t="s">
        <v>35</v>
      </c>
      <c r="C2" s="57" t="s">
        <v>62</v>
      </c>
      <c r="D2" s="59" t="s">
        <v>34</v>
      </c>
      <c r="E2" s="60"/>
      <c r="F2" s="61"/>
      <c r="G2" s="62" t="s">
        <v>41</v>
      </c>
      <c r="H2" s="59" t="s">
        <v>48</v>
      </c>
      <c r="I2" s="60"/>
      <c r="J2" s="63" t="s">
        <v>49</v>
      </c>
      <c r="K2" s="60"/>
      <c r="L2" s="63" t="s">
        <v>63</v>
      </c>
      <c r="M2" s="60"/>
      <c r="N2" s="59" t="s">
        <v>46</v>
      </c>
      <c r="O2" s="60"/>
      <c r="P2" s="59" t="s">
        <v>64</v>
      </c>
      <c r="Q2" s="60"/>
      <c r="R2" s="59" t="s">
        <v>65</v>
      </c>
      <c r="S2" s="60"/>
      <c r="T2" s="59" t="s">
        <v>66</v>
      </c>
      <c r="U2" s="60"/>
      <c r="V2" s="59" t="s">
        <v>67</v>
      </c>
      <c r="W2" s="60"/>
      <c r="X2" s="63" t="s">
        <v>68</v>
      </c>
      <c r="Y2" s="60"/>
      <c r="Z2" s="64" t="s">
        <v>69</v>
      </c>
      <c r="AA2" s="60"/>
      <c r="AB2" s="64" t="s">
        <v>70</v>
      </c>
      <c r="AC2" s="60"/>
      <c r="AD2" s="64" t="s">
        <v>71</v>
      </c>
      <c r="AE2" s="60"/>
      <c r="AF2" s="64" t="s">
        <v>72</v>
      </c>
      <c r="AG2" s="60"/>
      <c r="AH2" s="64" t="s">
        <v>73</v>
      </c>
      <c r="AI2" s="60"/>
      <c r="AJ2" s="63" t="s">
        <v>74</v>
      </c>
      <c r="AK2" s="60"/>
      <c r="AL2" s="65" t="s">
        <v>52</v>
      </c>
    </row>
    <row r="3">
      <c r="A3" s="66" t="s">
        <v>75</v>
      </c>
      <c r="B3" s="67" t="s">
        <v>76</v>
      </c>
      <c r="C3" s="66" t="s">
        <v>77</v>
      </c>
      <c r="D3" s="68">
        <v>13.0</v>
      </c>
      <c r="E3" s="68">
        <v>24.0</v>
      </c>
      <c r="F3" s="69">
        <v>37.0</v>
      </c>
      <c r="G3" s="70">
        <v>0.35135135135135137</v>
      </c>
      <c r="H3" s="68">
        <v>10.0</v>
      </c>
      <c r="I3" s="68">
        <v>23.0</v>
      </c>
      <c r="J3" s="16">
        <v>0.0</v>
      </c>
      <c r="K3" s="16">
        <v>0.0</v>
      </c>
      <c r="L3" s="16">
        <v>0.0</v>
      </c>
      <c r="M3" s="16">
        <v>0.0</v>
      </c>
      <c r="N3" s="68">
        <v>21.0</v>
      </c>
      <c r="O3" s="68">
        <v>38.0</v>
      </c>
      <c r="P3" s="68">
        <v>13.0</v>
      </c>
      <c r="Q3" s="68">
        <v>13.0</v>
      </c>
      <c r="R3" s="68">
        <v>4.0</v>
      </c>
      <c r="S3" s="68">
        <v>6.0</v>
      </c>
      <c r="T3" s="68">
        <v>2.0</v>
      </c>
      <c r="U3" s="68">
        <v>4.0</v>
      </c>
      <c r="V3" s="68">
        <v>6.0</v>
      </c>
      <c r="W3" s="68">
        <v>2.0</v>
      </c>
      <c r="X3" s="68">
        <v>1.0</v>
      </c>
      <c r="Y3" s="68">
        <v>1.0</v>
      </c>
      <c r="Z3" s="68">
        <v>0.0</v>
      </c>
      <c r="AA3" s="68">
        <v>0.0</v>
      </c>
      <c r="AB3" s="16">
        <v>4.0</v>
      </c>
      <c r="AC3" s="16">
        <v>8.0</v>
      </c>
      <c r="AD3" s="16">
        <v>18.0</v>
      </c>
      <c r="AE3" s="16">
        <v>6.0</v>
      </c>
      <c r="AF3" s="16">
        <v>0.0</v>
      </c>
      <c r="AG3" s="16">
        <v>0.0</v>
      </c>
      <c r="AH3" s="71">
        <v>4.0</v>
      </c>
      <c r="AI3" s="71">
        <v>4.0</v>
      </c>
      <c r="AJ3" s="16">
        <v>24.0</v>
      </c>
      <c r="AK3" s="16">
        <v>6.0</v>
      </c>
      <c r="AL3" s="16">
        <v>70.0</v>
      </c>
    </row>
    <row r="4">
      <c r="A4" s="72" t="s">
        <v>78</v>
      </c>
      <c r="B4" s="72" t="s">
        <v>79</v>
      </c>
      <c r="C4" s="73">
        <v>45577.0</v>
      </c>
      <c r="D4" s="72">
        <v>7.0</v>
      </c>
      <c r="E4" s="72">
        <v>21.0</v>
      </c>
      <c r="F4" s="72">
        <v>0.0</v>
      </c>
      <c r="G4" s="74">
        <v>0.25</v>
      </c>
      <c r="H4" s="72">
        <v>4.0</v>
      </c>
      <c r="I4" s="72">
        <v>0.0</v>
      </c>
      <c r="J4" s="75">
        <v>0.0</v>
      </c>
      <c r="K4" s="75">
        <v>0.0</v>
      </c>
      <c r="L4" s="75">
        <v>1.0</v>
      </c>
      <c r="M4" s="75">
        <v>0.0</v>
      </c>
      <c r="N4" s="72">
        <v>6.0</v>
      </c>
      <c r="O4" s="72">
        <v>0.0</v>
      </c>
      <c r="P4" s="72">
        <v>4.0</v>
      </c>
      <c r="Q4" s="72">
        <v>0.0</v>
      </c>
      <c r="R4" s="72">
        <v>4.0</v>
      </c>
      <c r="S4" s="72">
        <v>0.0</v>
      </c>
      <c r="T4" s="72">
        <v>0.0</v>
      </c>
      <c r="U4" s="72">
        <v>0.0</v>
      </c>
      <c r="V4" s="72">
        <v>2.0</v>
      </c>
      <c r="W4" s="72">
        <v>0.0</v>
      </c>
      <c r="X4" s="72"/>
      <c r="Y4" s="72"/>
      <c r="Z4" s="76">
        <v>0.0</v>
      </c>
      <c r="AA4" s="76">
        <v>0.0</v>
      </c>
      <c r="AB4" s="75">
        <v>0.0</v>
      </c>
      <c r="AC4" s="75">
        <v>0.0</v>
      </c>
      <c r="AD4" s="75">
        <v>0.0</v>
      </c>
      <c r="AE4" s="75">
        <v>0.0</v>
      </c>
      <c r="AF4" s="75"/>
      <c r="AG4" s="75"/>
      <c r="AH4" s="77">
        <f t="shared" ref="AH4:AI4" si="1">PRODUCT(Z4,5)</f>
        <v>0</v>
      </c>
      <c r="AI4" s="77">
        <f t="shared" si="1"/>
        <v>0</v>
      </c>
      <c r="AJ4" s="75">
        <v>6.0</v>
      </c>
      <c r="AK4" s="75">
        <v>0.0</v>
      </c>
      <c r="AL4" s="75">
        <v>39.0</v>
      </c>
    </row>
    <row r="5">
      <c r="A5" s="66" t="s">
        <v>32</v>
      </c>
      <c r="B5" s="66" t="s">
        <v>80</v>
      </c>
      <c r="C5" s="78">
        <v>45545.0</v>
      </c>
      <c r="D5" s="66">
        <v>10.0</v>
      </c>
      <c r="E5" s="66">
        <v>19.0</v>
      </c>
      <c r="F5" s="66">
        <v>13.0</v>
      </c>
      <c r="G5" s="79">
        <v>0.3448275862068966</v>
      </c>
      <c r="H5" s="66">
        <v>9.0</v>
      </c>
      <c r="I5" s="66">
        <v>7.0</v>
      </c>
      <c r="J5" s="13">
        <v>0.0</v>
      </c>
      <c r="K5" s="13">
        <v>0.0</v>
      </c>
      <c r="L5" s="13">
        <v>0.0</v>
      </c>
      <c r="M5" s="13">
        <v>0.0</v>
      </c>
      <c r="N5" s="66">
        <v>22.0</v>
      </c>
      <c r="O5" s="66">
        <v>2.0</v>
      </c>
      <c r="P5" s="66">
        <v>1.0</v>
      </c>
      <c r="Q5" s="66">
        <v>1.0</v>
      </c>
      <c r="R5" s="66">
        <v>4.0</v>
      </c>
      <c r="S5" s="66">
        <v>6.0</v>
      </c>
      <c r="T5" s="66">
        <v>5.0</v>
      </c>
      <c r="U5" s="66">
        <v>0.0</v>
      </c>
      <c r="V5" s="66">
        <v>3.0</v>
      </c>
      <c r="W5" s="66">
        <v>1.0</v>
      </c>
      <c r="X5" s="66"/>
      <c r="Y5" s="66"/>
      <c r="Z5" s="66">
        <v>0.0</v>
      </c>
      <c r="AA5" s="66">
        <v>0.0</v>
      </c>
      <c r="AB5" s="13">
        <v>3.0</v>
      </c>
      <c r="AC5" s="13">
        <v>0.0</v>
      </c>
      <c r="AD5" s="13">
        <v>6.0</v>
      </c>
      <c r="AE5" s="13">
        <v>4.0</v>
      </c>
      <c r="AF5" s="13"/>
      <c r="AG5" s="13"/>
      <c r="AH5" s="80">
        <f t="shared" ref="AH5:AI5" si="2">PRODUCT(Z5,5)</f>
        <v>0</v>
      </c>
      <c r="AI5" s="80">
        <f t="shared" si="2"/>
        <v>0</v>
      </c>
      <c r="AJ5" s="81">
        <v>19.0</v>
      </c>
      <c r="AK5" s="81">
        <v>3.0</v>
      </c>
      <c r="AL5" s="13">
        <v>56.0</v>
      </c>
    </row>
    <row r="6">
      <c r="A6" s="25" t="s">
        <v>81</v>
      </c>
      <c r="B6" s="25">
        <v>2023.0</v>
      </c>
      <c r="C6" s="25">
        <v>9.0</v>
      </c>
      <c r="D6" s="25">
        <v>11.0</v>
      </c>
      <c r="E6" s="25">
        <v>14.0</v>
      </c>
      <c r="F6" s="25">
        <f>SUM(D6:E6)</f>
        <v>25</v>
      </c>
      <c r="G6" s="82">
        <f>PRODUCT(D6,(1/F6))</f>
        <v>0.44</v>
      </c>
      <c r="H6" s="25">
        <v>4.0</v>
      </c>
      <c r="I6" s="25">
        <v>13.0</v>
      </c>
      <c r="J6" s="25">
        <v>0.0</v>
      </c>
      <c r="K6" s="25">
        <v>0.0</v>
      </c>
      <c r="L6" s="25">
        <v>0.0</v>
      </c>
      <c r="M6" s="25">
        <v>0.0</v>
      </c>
      <c r="N6" s="25">
        <v>11.0</v>
      </c>
      <c r="O6" s="25">
        <v>20.0</v>
      </c>
      <c r="P6" s="25">
        <v>4.0</v>
      </c>
      <c r="Q6" s="25">
        <v>5.0</v>
      </c>
      <c r="R6" s="25">
        <v>2.0</v>
      </c>
      <c r="S6" s="25">
        <v>1.0</v>
      </c>
      <c r="T6" s="25">
        <v>1.0</v>
      </c>
      <c r="U6" s="25">
        <v>7.0</v>
      </c>
      <c r="V6" s="25">
        <v>2.0</v>
      </c>
      <c r="W6" s="25">
        <v>3.0</v>
      </c>
      <c r="X6" s="25"/>
      <c r="Y6" s="25"/>
      <c r="Z6" s="76">
        <v>0.0</v>
      </c>
      <c r="AA6" s="76">
        <v>0.0</v>
      </c>
      <c r="AB6" s="25">
        <f>PRODUCT(W6,3)</f>
        <v>9</v>
      </c>
      <c r="AC6" s="25">
        <f>PRODUCT(U6,2)</f>
        <v>14</v>
      </c>
      <c r="AD6" s="25">
        <f>PRODUCT(V6,3)</f>
        <v>6</v>
      </c>
      <c r="AE6" s="25">
        <f>PRODUCT(T6,2)</f>
        <v>2</v>
      </c>
      <c r="AF6" s="25"/>
      <c r="AG6" s="25"/>
      <c r="AH6" s="77">
        <f t="shared" ref="AH6:AI6" si="3">PRODUCT(Z6,5)</f>
        <v>0</v>
      </c>
      <c r="AI6" s="77">
        <f t="shared" si="3"/>
        <v>0</v>
      </c>
      <c r="AJ6" s="77">
        <f>SUM(AD6,AE6)</f>
        <v>8</v>
      </c>
      <c r="AK6" s="77">
        <f>SUM(AB6,AC6)</f>
        <v>23</v>
      </c>
      <c r="AL6" s="25">
        <v>31.0</v>
      </c>
    </row>
    <row r="7">
      <c r="A7" s="13" t="s">
        <v>6</v>
      </c>
      <c r="B7" s="81" t="s">
        <v>47</v>
      </c>
      <c r="C7" s="83">
        <v>46276.0</v>
      </c>
      <c r="D7" s="81">
        <v>91.0</v>
      </c>
      <c r="E7" s="81">
        <v>17.0</v>
      </c>
      <c r="F7" s="81">
        <v>108.0</v>
      </c>
      <c r="G7" s="84">
        <v>0.8425925925925926</v>
      </c>
      <c r="H7" s="81">
        <v>54.0</v>
      </c>
      <c r="I7" s="85">
        <v>3.0</v>
      </c>
      <c r="J7" s="81">
        <v>6.0</v>
      </c>
      <c r="K7" s="81">
        <v>2.0</v>
      </c>
      <c r="L7" s="81">
        <v>1.0</v>
      </c>
      <c r="M7" s="81">
        <v>6.0</v>
      </c>
      <c r="N7" s="81">
        <v>147.0</v>
      </c>
      <c r="O7" s="81">
        <v>45.0</v>
      </c>
      <c r="P7" s="81">
        <v>23.0</v>
      </c>
      <c r="Q7" s="81">
        <v>80.0</v>
      </c>
      <c r="R7" s="81">
        <v>21.0</v>
      </c>
      <c r="S7" s="81">
        <v>16.0</v>
      </c>
      <c r="T7" s="81">
        <v>11.0</v>
      </c>
      <c r="U7" s="81">
        <v>13.0</v>
      </c>
      <c r="V7" s="81">
        <v>3.0</v>
      </c>
      <c r="W7" s="81">
        <v>9.0</v>
      </c>
      <c r="X7" s="81">
        <v>16.0</v>
      </c>
      <c r="Y7" s="81">
        <v>4.0</v>
      </c>
      <c r="Z7" s="66">
        <v>0.0</v>
      </c>
      <c r="AA7" s="66">
        <v>0.0</v>
      </c>
      <c r="AB7" s="81">
        <v>20.0</v>
      </c>
      <c r="AC7" s="81">
        <v>22.0</v>
      </c>
      <c r="AD7" s="81">
        <v>11.0</v>
      </c>
      <c r="AE7" s="81">
        <v>25.0</v>
      </c>
      <c r="AF7" s="81">
        <v>28.0</v>
      </c>
      <c r="AG7" s="81">
        <v>14.0</v>
      </c>
      <c r="AH7" s="81">
        <v>36.0</v>
      </c>
      <c r="AI7" s="81">
        <v>8.0</v>
      </c>
      <c r="AJ7" s="81">
        <v>57.0</v>
      </c>
      <c r="AK7" s="81">
        <v>51.0</v>
      </c>
      <c r="AL7" s="81">
        <v>408.0</v>
      </c>
    </row>
    <row r="8">
      <c r="A8" s="25" t="s">
        <v>16</v>
      </c>
      <c r="B8" s="75" t="s">
        <v>36</v>
      </c>
      <c r="C8" s="86">
        <v>45912.0</v>
      </c>
      <c r="D8" s="25">
        <v>85.0</v>
      </c>
      <c r="E8" s="25">
        <v>43.0</v>
      </c>
      <c r="F8" s="25">
        <v>67.0</v>
      </c>
      <c r="G8" s="87">
        <v>0.6640625</v>
      </c>
      <c r="H8" s="25">
        <v>60.0</v>
      </c>
      <c r="I8" s="25">
        <v>22.0</v>
      </c>
      <c r="J8" s="25">
        <v>0.0</v>
      </c>
      <c r="K8" s="25">
        <v>0.0</v>
      </c>
      <c r="L8" s="25">
        <v>3.0</v>
      </c>
      <c r="M8" s="25">
        <v>3.0</v>
      </c>
      <c r="N8" s="25">
        <v>111.0</v>
      </c>
      <c r="O8" s="25">
        <v>58.0</v>
      </c>
      <c r="P8" s="25">
        <v>48.0</v>
      </c>
      <c r="Q8" s="25">
        <v>19.0</v>
      </c>
      <c r="R8" s="25">
        <v>14.0</v>
      </c>
      <c r="S8" s="25">
        <v>27.0</v>
      </c>
      <c r="T8" s="25">
        <v>12.0</v>
      </c>
      <c r="U8" s="25">
        <v>8.0</v>
      </c>
      <c r="V8" s="25">
        <v>19.0</v>
      </c>
      <c r="W8" s="25">
        <v>9.0</v>
      </c>
      <c r="X8" s="25">
        <v>5.0</v>
      </c>
      <c r="Y8" s="25">
        <v>2.0</v>
      </c>
      <c r="Z8" s="76">
        <v>0.0</v>
      </c>
      <c r="AA8" s="76">
        <v>0.0</v>
      </c>
      <c r="AB8" s="25">
        <v>16.0</v>
      </c>
      <c r="AC8" s="25">
        <v>27.0</v>
      </c>
      <c r="AD8" s="25">
        <v>12.0</v>
      </c>
      <c r="AE8" s="25">
        <v>33.0</v>
      </c>
      <c r="AF8" s="25">
        <v>20.0</v>
      </c>
      <c r="AG8" s="25">
        <v>8.0</v>
      </c>
      <c r="AH8" s="77">
        <f t="shared" ref="AH8:AI8" si="4">PRODUCT(Z8,5)</f>
        <v>0</v>
      </c>
      <c r="AI8" s="77">
        <f t="shared" si="4"/>
        <v>0</v>
      </c>
      <c r="AJ8" s="25">
        <v>101.0</v>
      </c>
      <c r="AK8" s="25">
        <v>51.0</v>
      </c>
      <c r="AL8" s="25">
        <v>452.0</v>
      </c>
    </row>
    <row r="9">
      <c r="A9" s="13" t="s">
        <v>82</v>
      </c>
      <c r="B9" s="13" t="s">
        <v>83</v>
      </c>
      <c r="C9" s="13">
        <v>10.0</v>
      </c>
      <c r="D9" s="13">
        <v>19.0</v>
      </c>
      <c r="E9" s="13">
        <v>19.0</v>
      </c>
      <c r="F9" s="13">
        <v>38.0</v>
      </c>
      <c r="G9" s="42">
        <v>0.5</v>
      </c>
      <c r="H9" s="13">
        <v>10.0</v>
      </c>
      <c r="I9" s="13">
        <v>16.0</v>
      </c>
      <c r="J9" s="13">
        <v>0.0</v>
      </c>
      <c r="K9" s="13">
        <v>0.0</v>
      </c>
      <c r="L9" s="13">
        <v>0.0</v>
      </c>
      <c r="M9" s="13">
        <v>0.0</v>
      </c>
      <c r="N9" s="13">
        <v>11.0</v>
      </c>
      <c r="O9" s="13">
        <v>18.0</v>
      </c>
      <c r="P9" s="13">
        <v>1.0</v>
      </c>
      <c r="Q9" s="13">
        <v>3.0</v>
      </c>
      <c r="R9" s="13">
        <v>3.0</v>
      </c>
      <c r="S9" s="13">
        <v>3.0</v>
      </c>
      <c r="T9" s="13">
        <v>3.0</v>
      </c>
      <c r="U9" s="13">
        <v>0.0</v>
      </c>
      <c r="V9" s="13">
        <v>2.0</v>
      </c>
      <c r="W9" s="13">
        <v>2.0</v>
      </c>
      <c r="X9" s="13">
        <v>0.0</v>
      </c>
      <c r="Y9" s="13">
        <v>1.0</v>
      </c>
      <c r="Z9" s="66">
        <v>0.0</v>
      </c>
      <c r="AA9" s="66">
        <v>0.0</v>
      </c>
      <c r="AB9" s="13">
        <v>0.0</v>
      </c>
      <c r="AC9" s="13">
        <v>6.0</v>
      </c>
      <c r="AD9" s="13">
        <v>6.0</v>
      </c>
      <c r="AE9" s="13">
        <v>6.0</v>
      </c>
      <c r="AF9" s="13">
        <v>0.0</v>
      </c>
      <c r="AG9" s="13">
        <v>4.0</v>
      </c>
      <c r="AH9" s="80">
        <f t="shared" ref="AH9:AI9" si="5">PRODUCT(Z9,5)</f>
        <v>0</v>
      </c>
      <c r="AI9" s="80">
        <f t="shared" si="5"/>
        <v>0</v>
      </c>
      <c r="AJ9" s="81">
        <v>12.0</v>
      </c>
      <c r="AK9" s="81">
        <v>10.0</v>
      </c>
      <c r="AL9" s="13">
        <v>93.0</v>
      </c>
    </row>
    <row r="10">
      <c r="A10" s="25" t="s">
        <v>84</v>
      </c>
      <c r="B10" s="75" t="s">
        <v>85</v>
      </c>
      <c r="C10" s="86">
        <v>45910.0</v>
      </c>
      <c r="D10" s="25">
        <v>8.0</v>
      </c>
      <c r="E10" s="25">
        <v>11.0</v>
      </c>
      <c r="F10" s="25">
        <v>19.0</v>
      </c>
      <c r="G10" s="43">
        <v>0.42105263157894735</v>
      </c>
      <c r="H10" s="25">
        <v>7.0</v>
      </c>
      <c r="I10" s="25">
        <v>8.0</v>
      </c>
      <c r="J10" s="25">
        <v>0.0</v>
      </c>
      <c r="K10" s="25">
        <v>0.0</v>
      </c>
      <c r="L10" s="25">
        <v>0.0</v>
      </c>
      <c r="M10" s="25">
        <v>2.0</v>
      </c>
      <c r="N10" s="25">
        <v>12.0</v>
      </c>
      <c r="O10" s="25">
        <v>12.0</v>
      </c>
      <c r="P10" s="25">
        <v>4.0</v>
      </c>
      <c r="Q10" s="25">
        <v>5.0</v>
      </c>
      <c r="R10" s="25">
        <v>2.0</v>
      </c>
      <c r="S10" s="25">
        <v>6.0</v>
      </c>
      <c r="T10" s="25">
        <v>1.0</v>
      </c>
      <c r="U10" s="25">
        <v>0.0</v>
      </c>
      <c r="V10" s="25">
        <v>0.0</v>
      </c>
      <c r="W10" s="25">
        <v>3.0</v>
      </c>
      <c r="X10" s="25">
        <v>0.0</v>
      </c>
      <c r="Y10" s="25">
        <v>3.0</v>
      </c>
      <c r="Z10" s="76">
        <v>0.0</v>
      </c>
      <c r="AA10" s="76">
        <v>0.0</v>
      </c>
      <c r="AB10" s="25">
        <v>0.0</v>
      </c>
      <c r="AC10" s="25">
        <v>9.0</v>
      </c>
      <c r="AD10" s="25">
        <v>2.0</v>
      </c>
      <c r="AE10" s="25">
        <v>0.0</v>
      </c>
      <c r="AF10" s="25">
        <v>0.0</v>
      </c>
      <c r="AG10" s="25">
        <v>12.0</v>
      </c>
      <c r="AH10" s="77">
        <f t="shared" ref="AH10:AI10" si="6">PRODUCT(Z10,5)</f>
        <v>0</v>
      </c>
      <c r="AI10" s="77">
        <f t="shared" si="6"/>
        <v>0</v>
      </c>
      <c r="AJ10" s="25">
        <v>2.0</v>
      </c>
      <c r="AK10" s="25">
        <v>21.0</v>
      </c>
      <c r="AL10" s="25">
        <v>45.0</v>
      </c>
    </row>
    <row r="11">
      <c r="A11" s="13" t="s">
        <v>22</v>
      </c>
      <c r="B11" s="81">
        <v>2024.0</v>
      </c>
      <c r="C11" s="13">
        <v>12.0</v>
      </c>
      <c r="D11" s="13">
        <v>8.0</v>
      </c>
      <c r="E11" s="13">
        <v>12.0</v>
      </c>
      <c r="F11" s="13">
        <f>SUM(D11:E11)</f>
        <v>20</v>
      </c>
      <c r="G11" s="42">
        <f>PRODUCT(D11, (1/F11))</f>
        <v>0.4</v>
      </c>
      <c r="H11" s="13">
        <v>4.0</v>
      </c>
      <c r="I11" s="13">
        <v>11.0</v>
      </c>
      <c r="J11" s="13">
        <v>0.0</v>
      </c>
      <c r="K11" s="13">
        <v>1.0</v>
      </c>
      <c r="L11" s="13">
        <v>0.0</v>
      </c>
      <c r="M11" s="13">
        <v>0.0</v>
      </c>
      <c r="N11" s="13">
        <v>12.0</v>
      </c>
      <c r="O11" s="13">
        <v>19.0</v>
      </c>
      <c r="P11" s="13">
        <v>7.0</v>
      </c>
      <c r="Q11" s="13">
        <v>5.0</v>
      </c>
      <c r="R11" s="13">
        <v>2.0</v>
      </c>
      <c r="S11" s="13">
        <v>3.0</v>
      </c>
      <c r="T11" s="13">
        <v>0.0</v>
      </c>
      <c r="U11" s="13">
        <v>6.0</v>
      </c>
      <c r="V11" s="13">
        <v>3.0</v>
      </c>
      <c r="W11" s="13">
        <v>0.0</v>
      </c>
      <c r="X11" s="13"/>
      <c r="Y11" s="13"/>
      <c r="Z11" s="66">
        <v>0.0</v>
      </c>
      <c r="AA11" s="66">
        <v>0.0</v>
      </c>
      <c r="AB11" s="13">
        <f t="shared" ref="AB11:AC11" si="7">PRODUCT(T11,2)</f>
        <v>0</v>
      </c>
      <c r="AC11" s="13">
        <f t="shared" si="7"/>
        <v>12</v>
      </c>
      <c r="AD11" s="13">
        <f t="shared" ref="AD11:AE11" si="8">PRODUCT(V11,3)</f>
        <v>9</v>
      </c>
      <c r="AE11" s="13">
        <f t="shared" si="8"/>
        <v>0</v>
      </c>
      <c r="AF11" s="13"/>
      <c r="AG11" s="13"/>
      <c r="AH11" s="80">
        <f t="shared" ref="AH11:AI11" si="9">PRODUCT(Z11,5)</f>
        <v>0</v>
      </c>
      <c r="AI11" s="80">
        <f t="shared" si="9"/>
        <v>0</v>
      </c>
      <c r="AJ11" s="13">
        <f t="shared" ref="AJ11:AK11" si="10">SUM(AD11:AH11)</f>
        <v>9</v>
      </c>
      <c r="AK11" s="13">
        <f t="shared" si="10"/>
        <v>0</v>
      </c>
      <c r="AL11" s="13">
        <v>42.0</v>
      </c>
    </row>
    <row r="12">
      <c r="A12" s="25" t="s">
        <v>38</v>
      </c>
      <c r="B12" s="75" t="s">
        <v>36</v>
      </c>
      <c r="C12" s="86">
        <v>45912.0</v>
      </c>
      <c r="D12" s="31">
        <v>81.0</v>
      </c>
      <c r="E12" s="31">
        <v>59.0</v>
      </c>
      <c r="F12" s="31">
        <v>80.0</v>
      </c>
      <c r="G12" s="88">
        <v>0.5785714285714285</v>
      </c>
      <c r="H12" s="31">
        <v>53.0</v>
      </c>
      <c r="I12" s="31">
        <v>28.0</v>
      </c>
      <c r="J12" s="31">
        <v>1.0</v>
      </c>
      <c r="K12" s="31">
        <v>2.0</v>
      </c>
      <c r="L12" s="31">
        <v>4.0</v>
      </c>
      <c r="M12" s="31">
        <v>5.0</v>
      </c>
      <c r="N12" s="31">
        <v>120.0</v>
      </c>
      <c r="O12" s="31">
        <v>71.0</v>
      </c>
      <c r="P12" s="31">
        <v>31.0</v>
      </c>
      <c r="Q12" s="31">
        <v>39.0</v>
      </c>
      <c r="R12" s="31">
        <v>31.0</v>
      </c>
      <c r="S12" s="31">
        <v>20.0</v>
      </c>
      <c r="T12" s="31">
        <v>11.0</v>
      </c>
      <c r="U12" s="31">
        <v>14.0</v>
      </c>
      <c r="V12" s="31">
        <v>19.0</v>
      </c>
      <c r="W12" s="31">
        <v>19.0</v>
      </c>
      <c r="X12" s="31">
        <v>8.0</v>
      </c>
      <c r="Y12" s="31">
        <v>11.0</v>
      </c>
      <c r="Z12" s="76">
        <v>0.0</v>
      </c>
      <c r="AA12" s="76">
        <v>0.0</v>
      </c>
      <c r="AB12" s="31">
        <v>28.0</v>
      </c>
      <c r="AC12" s="31">
        <v>57.0</v>
      </c>
      <c r="AD12" s="31">
        <v>18.0</v>
      </c>
      <c r="AE12" s="31">
        <v>48.0</v>
      </c>
      <c r="AF12" s="31">
        <v>32.0</v>
      </c>
      <c r="AG12" s="31">
        <v>44.0</v>
      </c>
      <c r="AH12" s="77">
        <f t="shared" ref="AH12:AI12" si="11">PRODUCT(Z12,5)</f>
        <v>0</v>
      </c>
      <c r="AI12" s="77">
        <f t="shared" si="11"/>
        <v>0</v>
      </c>
      <c r="AJ12" s="31">
        <v>108.0</v>
      </c>
      <c r="AK12" s="31">
        <v>129.0</v>
      </c>
      <c r="AL12" s="31">
        <v>451.5</v>
      </c>
    </row>
    <row r="13">
      <c r="A13" s="81" t="s">
        <v>86</v>
      </c>
      <c r="B13" s="81">
        <v>2019.0</v>
      </c>
      <c r="C13" s="81"/>
      <c r="D13" s="81">
        <v>2.0</v>
      </c>
      <c r="E13" s="81">
        <v>9.0</v>
      </c>
      <c r="F13" s="81"/>
      <c r="G13" s="89">
        <f>PRODUCT(D13,(1/(D13+E13)))</f>
        <v>0.1818181818</v>
      </c>
      <c r="H13" s="81">
        <v>0.0</v>
      </c>
      <c r="I13" s="81"/>
      <c r="J13" s="81">
        <v>0.0</v>
      </c>
      <c r="K13" s="81"/>
      <c r="L13" s="81">
        <v>0.0</v>
      </c>
      <c r="M13" s="81"/>
      <c r="N13" s="81">
        <v>4.0</v>
      </c>
      <c r="O13" s="81"/>
      <c r="P13" s="81">
        <v>4.0</v>
      </c>
      <c r="Q13" s="81"/>
      <c r="R13" s="81">
        <v>4.0</v>
      </c>
      <c r="S13" s="81"/>
      <c r="T13" s="81">
        <v>1.0</v>
      </c>
      <c r="U13" s="81"/>
      <c r="V13" s="81">
        <v>0.0</v>
      </c>
      <c r="W13" s="81"/>
      <c r="X13" s="81"/>
      <c r="Y13" s="81"/>
      <c r="Z13" s="66">
        <v>0.0</v>
      </c>
      <c r="AA13" s="66">
        <v>0.0</v>
      </c>
      <c r="AB13" s="81"/>
      <c r="AC13" s="81"/>
      <c r="AD13" s="81"/>
      <c r="AE13" s="81"/>
      <c r="AF13" s="81"/>
      <c r="AG13" s="81"/>
      <c r="AH13" s="80">
        <f t="shared" ref="AH13:AI13" si="12">PRODUCT(Z13,5)</f>
        <v>0</v>
      </c>
      <c r="AI13" s="80">
        <f t="shared" si="12"/>
        <v>0</v>
      </c>
      <c r="AJ13" s="81">
        <v>2.0</v>
      </c>
      <c r="AK13" s="81"/>
      <c r="AL13" s="81">
        <v>6.0</v>
      </c>
    </row>
    <row r="14">
      <c r="A14" s="25" t="s">
        <v>87</v>
      </c>
      <c r="B14" s="75" t="s">
        <v>88</v>
      </c>
      <c r="C14" s="75"/>
      <c r="D14" s="75">
        <v>5.0</v>
      </c>
      <c r="E14" s="75">
        <v>18.0</v>
      </c>
      <c r="F14" s="75">
        <v>0.0</v>
      </c>
      <c r="G14" s="87">
        <v>0.21739130434782608</v>
      </c>
      <c r="H14" s="75">
        <v>2.0</v>
      </c>
      <c r="I14" s="75">
        <v>0.0</v>
      </c>
      <c r="J14" s="75">
        <v>0.0</v>
      </c>
      <c r="K14" s="75">
        <v>0.0</v>
      </c>
      <c r="L14" s="75">
        <v>0.0</v>
      </c>
      <c r="M14" s="75">
        <v>0.0</v>
      </c>
      <c r="N14" s="75">
        <v>10.0</v>
      </c>
      <c r="O14" s="75">
        <v>0.0</v>
      </c>
      <c r="P14" s="75">
        <v>7.0</v>
      </c>
      <c r="Q14" s="75">
        <v>0.0</v>
      </c>
      <c r="R14" s="75">
        <v>4.0</v>
      </c>
      <c r="S14" s="75">
        <v>0.0</v>
      </c>
      <c r="T14" s="75">
        <v>0.0</v>
      </c>
      <c r="U14" s="75">
        <v>0.0</v>
      </c>
      <c r="V14" s="75">
        <v>1.0</v>
      </c>
      <c r="W14" s="75">
        <v>0.0</v>
      </c>
      <c r="X14" s="75"/>
      <c r="Y14" s="75"/>
      <c r="Z14" s="76">
        <v>0.0</v>
      </c>
      <c r="AA14" s="76">
        <v>0.0</v>
      </c>
      <c r="AB14" s="75">
        <v>0.0</v>
      </c>
      <c r="AC14" s="75">
        <v>0.0</v>
      </c>
      <c r="AD14" s="75">
        <v>0.0</v>
      </c>
      <c r="AE14" s="75">
        <v>0.0</v>
      </c>
      <c r="AF14" s="75"/>
      <c r="AG14" s="75"/>
      <c r="AH14" s="77">
        <f t="shared" ref="AH14:AI14" si="13">PRODUCT(Z14,5)</f>
        <v>0</v>
      </c>
      <c r="AI14" s="77">
        <f t="shared" si="13"/>
        <v>0</v>
      </c>
      <c r="AJ14" s="75">
        <v>3.0</v>
      </c>
      <c r="AK14" s="75">
        <v>0.0</v>
      </c>
      <c r="AL14" s="75">
        <v>21.0</v>
      </c>
    </row>
    <row r="15">
      <c r="A15" s="13" t="s">
        <v>89</v>
      </c>
      <c r="B15" s="81" t="s">
        <v>50</v>
      </c>
      <c r="C15" s="13">
        <v>10.0</v>
      </c>
      <c r="D15" s="13">
        <v>1.0</v>
      </c>
      <c r="E15" s="13">
        <v>3.0</v>
      </c>
      <c r="F15" s="13">
        <v>4.0</v>
      </c>
      <c r="G15" s="42">
        <v>0.25</v>
      </c>
      <c r="H15" s="13">
        <v>1.0</v>
      </c>
      <c r="I15" s="13">
        <v>3.0</v>
      </c>
      <c r="J15" s="13">
        <v>0.0</v>
      </c>
      <c r="K15" s="13">
        <v>0.0</v>
      </c>
      <c r="L15" s="13">
        <v>1.0</v>
      </c>
      <c r="M15" s="13">
        <v>3.0</v>
      </c>
      <c r="N15" s="13">
        <v>0.0</v>
      </c>
      <c r="O15" s="13">
        <v>6.0</v>
      </c>
      <c r="P15" s="13">
        <v>1.0</v>
      </c>
      <c r="Q15" s="13">
        <v>0.0</v>
      </c>
      <c r="R15" s="13">
        <v>2.0</v>
      </c>
      <c r="S15" s="13">
        <v>1.0</v>
      </c>
      <c r="T15" s="13">
        <v>0.0</v>
      </c>
      <c r="U15" s="13">
        <v>0.0</v>
      </c>
      <c r="V15" s="13">
        <v>0.0</v>
      </c>
      <c r="W15" s="13">
        <v>0.0</v>
      </c>
      <c r="X15" s="13">
        <v>1.0</v>
      </c>
      <c r="Y15" s="13">
        <v>0.0</v>
      </c>
      <c r="Z15" s="66">
        <v>0.0</v>
      </c>
      <c r="AA15" s="66">
        <v>0.0</v>
      </c>
      <c r="AB15" s="13">
        <v>0.0</v>
      </c>
      <c r="AC15" s="13">
        <v>0.0</v>
      </c>
      <c r="AD15" s="13">
        <v>0.0</v>
      </c>
      <c r="AE15" s="13">
        <v>0.0</v>
      </c>
      <c r="AF15" s="13">
        <v>4.0</v>
      </c>
      <c r="AG15" s="13">
        <v>0.0</v>
      </c>
      <c r="AH15" s="80">
        <f t="shared" ref="AH15:AI15" si="14">PRODUCT(Z15,5)</f>
        <v>0</v>
      </c>
      <c r="AI15" s="80">
        <f t="shared" si="14"/>
        <v>0</v>
      </c>
      <c r="AJ15" s="13">
        <v>4.0</v>
      </c>
      <c r="AK15" s="13">
        <v>0.0</v>
      </c>
      <c r="AL15" s="13">
        <v>9.0</v>
      </c>
    </row>
    <row r="16">
      <c r="A16" s="25" t="s">
        <v>44</v>
      </c>
      <c r="B16" s="75" t="s">
        <v>45</v>
      </c>
      <c r="C16" s="86">
        <v>45546.0</v>
      </c>
      <c r="D16" s="25">
        <v>63.0</v>
      </c>
      <c r="E16" s="25">
        <v>32.0</v>
      </c>
      <c r="F16" s="25">
        <v>75.0</v>
      </c>
      <c r="G16" s="82">
        <v>0.6631578947368421</v>
      </c>
      <c r="H16" s="25">
        <v>40.0</v>
      </c>
      <c r="I16" s="25">
        <v>16.0</v>
      </c>
      <c r="J16" s="25">
        <v>0.0</v>
      </c>
      <c r="K16" s="25">
        <v>0.0</v>
      </c>
      <c r="L16" s="25">
        <v>0.0</v>
      </c>
      <c r="M16" s="25">
        <v>2.0</v>
      </c>
      <c r="N16" s="25">
        <v>77.0</v>
      </c>
      <c r="O16" s="25">
        <v>29.0</v>
      </c>
      <c r="P16" s="25">
        <v>23.0</v>
      </c>
      <c r="Q16" s="25">
        <v>21.0</v>
      </c>
      <c r="R16" s="25">
        <v>8.0</v>
      </c>
      <c r="S16" s="25">
        <v>13.0</v>
      </c>
      <c r="T16" s="25">
        <v>13.0</v>
      </c>
      <c r="U16" s="25">
        <v>3.0</v>
      </c>
      <c r="V16" s="25">
        <v>9.0</v>
      </c>
      <c r="W16" s="25">
        <v>7.0</v>
      </c>
      <c r="X16" s="25"/>
      <c r="Y16" s="25"/>
      <c r="Z16" s="76">
        <v>0.0</v>
      </c>
      <c r="AA16" s="76">
        <v>0.0</v>
      </c>
      <c r="AB16" s="25">
        <v>26.0</v>
      </c>
      <c r="AC16" s="25">
        <v>6.0</v>
      </c>
      <c r="AD16" s="25">
        <v>24.0</v>
      </c>
      <c r="AE16" s="25">
        <v>21.0</v>
      </c>
      <c r="AF16" s="25"/>
      <c r="AG16" s="25"/>
      <c r="AH16" s="77">
        <f t="shared" ref="AH16:AI16" si="15">PRODUCT(Z16,5)</f>
        <v>0</v>
      </c>
      <c r="AI16" s="77">
        <f t="shared" si="15"/>
        <v>0</v>
      </c>
      <c r="AJ16" s="25">
        <v>53.0</v>
      </c>
      <c r="AK16" s="25">
        <v>27.0</v>
      </c>
      <c r="AL16" s="25">
        <v>317.0</v>
      </c>
    </row>
    <row r="17">
      <c r="A17" s="13" t="s">
        <v>90</v>
      </c>
      <c r="B17" s="81" t="s">
        <v>43</v>
      </c>
      <c r="C17" s="83">
        <v>45545.0</v>
      </c>
      <c r="D17" s="13">
        <v>21.0</v>
      </c>
      <c r="E17" s="13">
        <v>29.0</v>
      </c>
      <c r="F17" s="13">
        <v>50.0</v>
      </c>
      <c r="G17" s="90">
        <v>0.42</v>
      </c>
      <c r="H17" s="13">
        <v>14.0</v>
      </c>
      <c r="I17" s="13">
        <v>22.0</v>
      </c>
      <c r="J17" s="13">
        <v>0.0</v>
      </c>
      <c r="K17" s="13">
        <v>0.0</v>
      </c>
      <c r="L17" s="13">
        <v>0.0</v>
      </c>
      <c r="M17" s="13">
        <v>2.0</v>
      </c>
      <c r="N17" s="13">
        <v>26.0</v>
      </c>
      <c r="O17" s="13">
        <v>60.0</v>
      </c>
      <c r="P17" s="13">
        <v>30.0</v>
      </c>
      <c r="Q17" s="13">
        <v>10.0</v>
      </c>
      <c r="R17" s="13">
        <v>7.0</v>
      </c>
      <c r="S17" s="13">
        <v>7.0</v>
      </c>
      <c r="T17" s="13">
        <v>2.0</v>
      </c>
      <c r="U17" s="13">
        <v>7.0</v>
      </c>
      <c r="V17" s="13">
        <v>0.0</v>
      </c>
      <c r="W17" s="13">
        <v>7.0</v>
      </c>
      <c r="X17" s="13"/>
      <c r="Y17" s="13"/>
      <c r="Z17" s="66">
        <v>0.0</v>
      </c>
      <c r="AA17" s="66">
        <v>0.0</v>
      </c>
      <c r="AB17" s="13">
        <v>11.0</v>
      </c>
      <c r="AC17" s="13">
        <v>14.0</v>
      </c>
      <c r="AD17" s="13">
        <v>0.0</v>
      </c>
      <c r="AE17" s="13">
        <v>14.0</v>
      </c>
      <c r="AF17" s="13"/>
      <c r="AG17" s="13"/>
      <c r="AH17" s="80">
        <f t="shared" ref="AH17:AI17" si="16">PRODUCT(Z17,5)</f>
        <v>0</v>
      </c>
      <c r="AI17" s="80">
        <f t="shared" si="16"/>
        <v>0</v>
      </c>
      <c r="AJ17" s="13">
        <v>4.0</v>
      </c>
      <c r="AK17" s="13">
        <v>35.0</v>
      </c>
      <c r="AL17" s="13">
        <v>121.0</v>
      </c>
    </row>
    <row r="18">
      <c r="A18" s="25" t="s">
        <v>28</v>
      </c>
      <c r="B18" s="75" t="s">
        <v>91</v>
      </c>
      <c r="C18" s="86">
        <v>46306.0</v>
      </c>
      <c r="D18" s="25">
        <v>63.0</v>
      </c>
      <c r="E18" s="25">
        <v>29.0</v>
      </c>
      <c r="F18" s="25">
        <v>92.0</v>
      </c>
      <c r="G18" s="91">
        <v>0.6847826086956521</v>
      </c>
      <c r="H18" s="25">
        <v>45.0</v>
      </c>
      <c r="I18" s="25">
        <v>25.0</v>
      </c>
      <c r="J18" s="25">
        <v>3.0</v>
      </c>
      <c r="K18" s="25">
        <v>1.0</v>
      </c>
      <c r="L18" s="25">
        <v>0.0</v>
      </c>
      <c r="M18" s="25">
        <v>4.0</v>
      </c>
      <c r="N18" s="25">
        <v>82.0</v>
      </c>
      <c r="O18" s="25">
        <v>50.0</v>
      </c>
      <c r="P18" s="25">
        <v>21.0</v>
      </c>
      <c r="Q18" s="25">
        <v>20.0</v>
      </c>
      <c r="R18" s="25">
        <v>16.0</v>
      </c>
      <c r="S18" s="25">
        <v>18.0</v>
      </c>
      <c r="T18" s="25">
        <v>3.0</v>
      </c>
      <c r="U18" s="25">
        <v>3.0</v>
      </c>
      <c r="V18" s="25">
        <v>4.0</v>
      </c>
      <c r="W18" s="25">
        <v>4.0</v>
      </c>
      <c r="X18" s="25">
        <v>24.0</v>
      </c>
      <c r="Y18" s="25">
        <v>22.0</v>
      </c>
      <c r="Z18" s="76">
        <v>0.0</v>
      </c>
      <c r="AA18" s="76">
        <v>0.0</v>
      </c>
      <c r="AB18" s="25">
        <v>2.0</v>
      </c>
      <c r="AC18" s="25">
        <v>4.0</v>
      </c>
      <c r="AD18" s="25">
        <v>10.0</v>
      </c>
      <c r="AE18" s="25">
        <v>11.0</v>
      </c>
      <c r="AF18" s="25">
        <v>46.0</v>
      </c>
      <c r="AG18" s="25">
        <v>35.0</v>
      </c>
      <c r="AH18" s="75">
        <v>56.0</v>
      </c>
      <c r="AI18" s="75">
        <v>56.0</v>
      </c>
      <c r="AJ18" s="25">
        <v>48.0</v>
      </c>
      <c r="AK18" s="25">
        <v>45.0</v>
      </c>
      <c r="AL18" s="25">
        <v>299.0</v>
      </c>
    </row>
    <row r="19">
      <c r="A19" s="81" t="s">
        <v>92</v>
      </c>
      <c r="B19" s="81">
        <v>2022.0</v>
      </c>
      <c r="C19" s="81">
        <v>9.0</v>
      </c>
      <c r="D19" s="81">
        <v>0.0</v>
      </c>
      <c r="E19" s="81">
        <v>3.0</v>
      </c>
      <c r="F19" s="81"/>
      <c r="G19" s="89">
        <f>PRODUCT(D19,(1/(D19+E19)))</f>
        <v>0</v>
      </c>
      <c r="H19" s="81">
        <v>0.0</v>
      </c>
      <c r="I19" s="81"/>
      <c r="J19" s="81">
        <v>0.0</v>
      </c>
      <c r="K19" s="81"/>
      <c r="L19" s="81">
        <v>0.0</v>
      </c>
      <c r="M19" s="81"/>
      <c r="N19" s="81">
        <v>0.0</v>
      </c>
      <c r="O19" s="81"/>
      <c r="P19" s="81">
        <v>0.0</v>
      </c>
      <c r="Q19" s="81"/>
      <c r="R19" s="81">
        <v>1.0</v>
      </c>
      <c r="S19" s="81"/>
      <c r="T19" s="81">
        <v>0.0</v>
      </c>
      <c r="U19" s="81"/>
      <c r="V19" s="81">
        <v>0.0</v>
      </c>
      <c r="W19" s="81"/>
      <c r="X19" s="81"/>
      <c r="Y19" s="81"/>
      <c r="Z19" s="66">
        <v>0.0</v>
      </c>
      <c r="AA19" s="66">
        <v>0.0</v>
      </c>
      <c r="AB19" s="81"/>
      <c r="AC19" s="81"/>
      <c r="AD19" s="81"/>
      <c r="AE19" s="81"/>
      <c r="AF19" s="81"/>
      <c r="AG19" s="81"/>
      <c r="AH19" s="80">
        <f t="shared" ref="AH19:AI19" si="17">PRODUCT(Z19,5)</f>
        <v>0</v>
      </c>
      <c r="AI19" s="80">
        <f t="shared" si="17"/>
        <v>0</v>
      </c>
      <c r="AJ19" s="81">
        <v>0.0</v>
      </c>
      <c r="AK19" s="81"/>
      <c r="AL19" s="81">
        <v>0.0</v>
      </c>
    </row>
    <row r="20">
      <c r="A20" s="25" t="s">
        <v>93</v>
      </c>
      <c r="B20" s="75">
        <v>2024.0</v>
      </c>
      <c r="C20" s="25">
        <v>10.0</v>
      </c>
      <c r="D20" s="25">
        <v>7.0</v>
      </c>
      <c r="E20" s="25">
        <v>8.0</v>
      </c>
      <c r="F20" s="25">
        <f>SUM(D20:E20)</f>
        <v>15</v>
      </c>
      <c r="G20" s="43">
        <f>PRODUCT(D20, (1/F20))</f>
        <v>0.4666666667</v>
      </c>
      <c r="H20" s="25">
        <v>2.0</v>
      </c>
      <c r="I20" s="25">
        <v>8.0</v>
      </c>
      <c r="J20" s="25">
        <v>0.0</v>
      </c>
      <c r="K20" s="25">
        <v>0.0</v>
      </c>
      <c r="L20" s="25">
        <v>0.0</v>
      </c>
      <c r="M20" s="25">
        <v>0.0</v>
      </c>
      <c r="N20" s="25">
        <v>5.0</v>
      </c>
      <c r="O20" s="25">
        <v>9.0</v>
      </c>
      <c r="P20" s="25">
        <v>4.0</v>
      </c>
      <c r="Q20" s="25">
        <v>1.0</v>
      </c>
      <c r="R20" s="25">
        <v>0.0</v>
      </c>
      <c r="S20" s="25">
        <v>2.0</v>
      </c>
      <c r="T20" s="25">
        <v>1.0</v>
      </c>
      <c r="U20" s="25">
        <v>0.0</v>
      </c>
      <c r="V20" s="25">
        <v>0.0</v>
      </c>
      <c r="W20" s="25">
        <v>0.0</v>
      </c>
      <c r="X20" s="25"/>
      <c r="Y20" s="25"/>
      <c r="Z20" s="76">
        <v>0.0</v>
      </c>
      <c r="AA20" s="76">
        <v>0.0</v>
      </c>
      <c r="AB20" s="25">
        <f t="shared" ref="AB20:AC20" si="18">PRODUCT(T20,2)</f>
        <v>2</v>
      </c>
      <c r="AC20" s="25">
        <f t="shared" si="18"/>
        <v>0</v>
      </c>
      <c r="AD20" s="25">
        <f t="shared" ref="AD20:AE20" si="19">PRODUCT(V20,3)</f>
        <v>0</v>
      </c>
      <c r="AE20" s="25">
        <f t="shared" si="19"/>
        <v>0</v>
      </c>
      <c r="AF20" s="25"/>
      <c r="AG20" s="25"/>
      <c r="AH20" s="77">
        <f t="shared" ref="AH20:AI20" si="20">PRODUCT(Z20,5)</f>
        <v>0</v>
      </c>
      <c r="AI20" s="77">
        <f t="shared" si="20"/>
        <v>0</v>
      </c>
      <c r="AJ20" s="25">
        <f t="shared" ref="AJ20:AK20" si="21">SUM(AD20:AH20)</f>
        <v>0</v>
      </c>
      <c r="AK20" s="25">
        <f t="shared" si="21"/>
        <v>0</v>
      </c>
      <c r="AL20" s="25">
        <v>40.0</v>
      </c>
    </row>
    <row r="21">
      <c r="A21" s="13" t="s">
        <v>26</v>
      </c>
      <c r="B21" s="13" t="s">
        <v>80</v>
      </c>
      <c r="C21" s="83">
        <v>45608.0</v>
      </c>
      <c r="D21" s="13">
        <v>21.0</v>
      </c>
      <c r="E21" s="13">
        <v>17.0</v>
      </c>
      <c r="F21" s="13">
        <v>18.0</v>
      </c>
      <c r="G21" s="90">
        <v>0.5526315789473684</v>
      </c>
      <c r="H21" s="13">
        <v>11.0</v>
      </c>
      <c r="I21" s="13">
        <v>5.0</v>
      </c>
      <c r="J21" s="13">
        <v>0.0</v>
      </c>
      <c r="K21" s="13">
        <v>0.0</v>
      </c>
      <c r="L21" s="13">
        <v>0.0</v>
      </c>
      <c r="M21" s="13">
        <v>0.0</v>
      </c>
      <c r="N21" s="13">
        <v>18.0</v>
      </c>
      <c r="O21" s="13">
        <v>7.0</v>
      </c>
      <c r="P21" s="13">
        <v>11.0</v>
      </c>
      <c r="Q21" s="13">
        <v>5.0</v>
      </c>
      <c r="R21" s="13">
        <v>6.0</v>
      </c>
      <c r="S21" s="13">
        <v>2.0</v>
      </c>
      <c r="T21" s="13">
        <v>5.0</v>
      </c>
      <c r="U21" s="13">
        <v>3.0</v>
      </c>
      <c r="V21" s="13">
        <v>3.0</v>
      </c>
      <c r="W21" s="13">
        <v>0.0</v>
      </c>
      <c r="X21" s="13"/>
      <c r="Y21" s="13"/>
      <c r="Z21" s="66">
        <v>0.0</v>
      </c>
      <c r="AA21" s="66">
        <v>0.0</v>
      </c>
      <c r="AB21" s="13">
        <v>0.0</v>
      </c>
      <c r="AC21" s="13">
        <v>6.0</v>
      </c>
      <c r="AD21" s="13">
        <v>6.0</v>
      </c>
      <c r="AE21" s="13">
        <v>2.0</v>
      </c>
      <c r="AF21" s="13"/>
      <c r="AG21" s="13"/>
      <c r="AH21" s="80">
        <f t="shared" ref="AH21:AI21" si="22">PRODUCT(Z21,5)</f>
        <v>0</v>
      </c>
      <c r="AI21" s="80">
        <f t="shared" si="22"/>
        <v>0</v>
      </c>
      <c r="AJ21" s="81">
        <v>19.0</v>
      </c>
      <c r="AK21" s="81">
        <v>6.0</v>
      </c>
      <c r="AL21" s="13">
        <v>93.0</v>
      </c>
    </row>
    <row r="22">
      <c r="A22" s="25" t="s">
        <v>94</v>
      </c>
      <c r="B22" s="75" t="s">
        <v>59</v>
      </c>
      <c r="C22" s="25">
        <v>9.0</v>
      </c>
      <c r="D22" s="25">
        <v>6.0</v>
      </c>
      <c r="E22" s="25">
        <v>8.0</v>
      </c>
      <c r="F22" s="25">
        <f>SUM(D22:E22)</f>
        <v>14</v>
      </c>
      <c r="G22" s="43">
        <f>PRODUCT(D22, (1/F22))</f>
        <v>0.4285714286</v>
      </c>
      <c r="H22" s="25">
        <v>5.0</v>
      </c>
      <c r="I22" s="25">
        <v>8.0</v>
      </c>
      <c r="J22" s="25">
        <v>0.0</v>
      </c>
      <c r="K22" s="25">
        <v>0.0</v>
      </c>
      <c r="L22" s="25">
        <v>0.0</v>
      </c>
      <c r="M22" s="25">
        <v>0.0</v>
      </c>
      <c r="N22" s="25">
        <v>7.0</v>
      </c>
      <c r="O22" s="25">
        <v>10.0</v>
      </c>
      <c r="P22" s="25">
        <v>2.0</v>
      </c>
      <c r="Q22" s="25">
        <v>3.0</v>
      </c>
      <c r="R22" s="25">
        <v>3.0</v>
      </c>
      <c r="S22" s="25">
        <v>2.0</v>
      </c>
      <c r="T22" s="25">
        <v>1.0</v>
      </c>
      <c r="U22" s="25">
        <v>1.0</v>
      </c>
      <c r="V22" s="25">
        <v>4.0</v>
      </c>
      <c r="W22" s="25">
        <v>0.0</v>
      </c>
      <c r="X22" s="25"/>
      <c r="Y22" s="25"/>
      <c r="Z22" s="76">
        <v>0.0</v>
      </c>
      <c r="AA22" s="76">
        <v>0.0</v>
      </c>
      <c r="AB22" s="25">
        <f t="shared" ref="AB22:AC22" si="23">PRODUCT(T22,2)</f>
        <v>2</v>
      </c>
      <c r="AC22" s="25">
        <f t="shared" si="23"/>
        <v>2</v>
      </c>
      <c r="AD22" s="25">
        <f t="shared" ref="AD22:AE22" si="24">PRODUCT(V22,3)</f>
        <v>12</v>
      </c>
      <c r="AE22" s="25">
        <f t="shared" si="24"/>
        <v>0</v>
      </c>
      <c r="AF22" s="25"/>
      <c r="AG22" s="25"/>
      <c r="AH22" s="77">
        <f t="shared" ref="AH22:AI22" si="25">PRODUCT(Z22,5)</f>
        <v>0</v>
      </c>
      <c r="AI22" s="77">
        <f t="shared" si="25"/>
        <v>0</v>
      </c>
      <c r="AJ22" s="25">
        <f t="shared" ref="AJ22:AK22" si="26">SUM(AD22:AH22)</f>
        <v>12</v>
      </c>
      <c r="AK22" s="25">
        <f t="shared" si="26"/>
        <v>0</v>
      </c>
      <c r="AL22" s="25">
        <v>47.0</v>
      </c>
    </row>
    <row r="23">
      <c r="A23" s="81" t="s">
        <v>95</v>
      </c>
      <c r="B23" s="81" t="s">
        <v>88</v>
      </c>
      <c r="C23" s="81"/>
      <c r="D23" s="81">
        <v>12.0</v>
      </c>
      <c r="E23" s="81">
        <v>14.0</v>
      </c>
      <c r="F23" s="81">
        <v>0.0</v>
      </c>
      <c r="G23" s="89">
        <v>0.46153846153846156</v>
      </c>
      <c r="H23" s="81">
        <v>6.0</v>
      </c>
      <c r="I23" s="81">
        <v>0.0</v>
      </c>
      <c r="J23" s="81">
        <v>0.0</v>
      </c>
      <c r="K23" s="81">
        <v>0.0</v>
      </c>
      <c r="L23" s="81">
        <v>0.0</v>
      </c>
      <c r="M23" s="81">
        <v>0.0</v>
      </c>
      <c r="N23" s="81">
        <v>25.0</v>
      </c>
      <c r="O23" s="81">
        <v>0.0</v>
      </c>
      <c r="P23" s="81">
        <v>8.0</v>
      </c>
      <c r="Q23" s="81">
        <v>0.0</v>
      </c>
      <c r="R23" s="81">
        <v>6.0</v>
      </c>
      <c r="S23" s="81">
        <v>0.0</v>
      </c>
      <c r="T23" s="81">
        <v>3.0</v>
      </c>
      <c r="U23" s="81">
        <v>0.0</v>
      </c>
      <c r="V23" s="81">
        <v>2.0</v>
      </c>
      <c r="W23" s="81">
        <v>0.0</v>
      </c>
      <c r="X23" s="81"/>
      <c r="Y23" s="81"/>
      <c r="Z23" s="66">
        <v>0.0</v>
      </c>
      <c r="AA23" s="66">
        <v>0.0</v>
      </c>
      <c r="AB23" s="81">
        <v>0.0</v>
      </c>
      <c r="AC23" s="81">
        <v>0.0</v>
      </c>
      <c r="AD23" s="81">
        <v>0.0</v>
      </c>
      <c r="AE23" s="81">
        <v>0.0</v>
      </c>
      <c r="AF23" s="81"/>
      <c r="AG23" s="81"/>
      <c r="AH23" s="80">
        <f t="shared" ref="AH23:AI23" si="27">PRODUCT(Z23,5)</f>
        <v>0</v>
      </c>
      <c r="AI23" s="80">
        <f t="shared" si="27"/>
        <v>0</v>
      </c>
      <c r="AJ23" s="81">
        <v>12.0</v>
      </c>
      <c r="AK23" s="81">
        <v>0.0</v>
      </c>
      <c r="AL23" s="81">
        <v>61.0</v>
      </c>
    </row>
    <row r="24">
      <c r="A24" s="75" t="s">
        <v>96</v>
      </c>
      <c r="B24" s="75" t="s">
        <v>88</v>
      </c>
      <c r="C24" s="75"/>
      <c r="D24" s="75">
        <v>0.0</v>
      </c>
      <c r="E24" s="75">
        <v>7.0</v>
      </c>
      <c r="F24" s="75">
        <v>0.0</v>
      </c>
      <c r="G24" s="87">
        <v>0.0</v>
      </c>
      <c r="H24" s="75">
        <v>0.0</v>
      </c>
      <c r="I24" s="75">
        <v>0.0</v>
      </c>
      <c r="J24" s="75">
        <v>0.0</v>
      </c>
      <c r="K24" s="75">
        <v>0.0</v>
      </c>
      <c r="L24" s="75">
        <v>0.0</v>
      </c>
      <c r="M24" s="75">
        <v>0.0</v>
      </c>
      <c r="N24" s="75">
        <v>2.0</v>
      </c>
      <c r="O24" s="75">
        <v>0.0</v>
      </c>
      <c r="P24" s="75">
        <v>0.0</v>
      </c>
      <c r="Q24" s="75">
        <v>0.0</v>
      </c>
      <c r="R24" s="75">
        <v>0.0</v>
      </c>
      <c r="S24" s="75">
        <v>0.0</v>
      </c>
      <c r="T24" s="75">
        <v>0.0</v>
      </c>
      <c r="U24" s="75">
        <v>0.0</v>
      </c>
      <c r="V24" s="75">
        <v>1.0</v>
      </c>
      <c r="W24" s="75">
        <v>0.0</v>
      </c>
      <c r="X24" s="75"/>
      <c r="Y24" s="75"/>
      <c r="Z24" s="76">
        <v>0.0</v>
      </c>
      <c r="AA24" s="76">
        <v>0.0</v>
      </c>
      <c r="AB24" s="75">
        <v>0.0</v>
      </c>
      <c r="AC24" s="75">
        <v>0.0</v>
      </c>
      <c r="AD24" s="75">
        <v>0.0</v>
      </c>
      <c r="AE24" s="75">
        <v>0.0</v>
      </c>
      <c r="AF24" s="75"/>
      <c r="AG24" s="75"/>
      <c r="AH24" s="77">
        <f t="shared" ref="AH24:AI24" si="28">PRODUCT(Z24,5)</f>
        <v>0</v>
      </c>
      <c r="AI24" s="77">
        <f t="shared" si="28"/>
        <v>0</v>
      </c>
      <c r="AJ24" s="75">
        <v>3.0</v>
      </c>
      <c r="AK24" s="75">
        <v>0.0</v>
      </c>
      <c r="AL24" s="75">
        <v>0.0</v>
      </c>
    </row>
    <row r="25">
      <c r="A25" s="81" t="s">
        <v>11</v>
      </c>
      <c r="B25" s="81" t="s">
        <v>91</v>
      </c>
      <c r="C25" s="92">
        <v>46306.0</v>
      </c>
      <c r="D25" s="81">
        <v>36.0</v>
      </c>
      <c r="E25" s="81">
        <v>36.0</v>
      </c>
      <c r="F25" s="81">
        <v>72.0</v>
      </c>
      <c r="G25" s="93">
        <v>0.5</v>
      </c>
      <c r="H25" s="81">
        <v>24.0</v>
      </c>
      <c r="I25" s="81">
        <v>30.0</v>
      </c>
      <c r="J25" s="81">
        <v>0.0</v>
      </c>
      <c r="K25" s="81">
        <v>1.0</v>
      </c>
      <c r="L25" s="81">
        <v>0.0</v>
      </c>
      <c r="M25" s="81">
        <v>1.0</v>
      </c>
      <c r="N25" s="81">
        <v>33.0</v>
      </c>
      <c r="O25" s="81">
        <v>56.0</v>
      </c>
      <c r="P25" s="81">
        <v>16.0</v>
      </c>
      <c r="Q25" s="81">
        <v>16.0</v>
      </c>
      <c r="R25" s="81">
        <v>9.0</v>
      </c>
      <c r="S25" s="81">
        <v>17.0</v>
      </c>
      <c r="T25" s="81">
        <v>4.0</v>
      </c>
      <c r="U25" s="81">
        <v>2.0</v>
      </c>
      <c r="V25" s="81">
        <v>1.0</v>
      </c>
      <c r="W25" s="81">
        <v>3.0</v>
      </c>
      <c r="X25" s="81">
        <v>3.0</v>
      </c>
      <c r="Y25" s="81">
        <v>12.0</v>
      </c>
      <c r="Z25" s="66">
        <v>0.0</v>
      </c>
      <c r="AA25" s="66">
        <v>0.0</v>
      </c>
      <c r="AB25" s="81">
        <v>2.0</v>
      </c>
      <c r="AC25" s="81">
        <v>2.0</v>
      </c>
      <c r="AD25" s="81">
        <v>6.0</v>
      </c>
      <c r="AE25" s="81">
        <v>5.0</v>
      </c>
      <c r="AF25" s="81">
        <v>3.0</v>
      </c>
      <c r="AG25" s="81">
        <v>26.0</v>
      </c>
      <c r="AH25" s="81">
        <v>12.0</v>
      </c>
      <c r="AI25" s="81">
        <v>28.0</v>
      </c>
      <c r="AJ25" s="81">
        <v>2.0</v>
      </c>
      <c r="AK25" s="81">
        <v>25.0</v>
      </c>
      <c r="AL25" s="81">
        <v>160.0</v>
      </c>
    </row>
    <row r="26">
      <c r="A26" s="75" t="s">
        <v>97</v>
      </c>
      <c r="B26" s="75">
        <v>2019.0</v>
      </c>
      <c r="C26" s="75"/>
      <c r="D26" s="75">
        <v>1.0</v>
      </c>
      <c r="E26" s="75">
        <v>4.0</v>
      </c>
      <c r="F26" s="75"/>
      <c r="G26" s="87">
        <f>PRODUCT(D26,(1/(D26+E26)))</f>
        <v>0.2</v>
      </c>
      <c r="H26" s="75">
        <v>1.0</v>
      </c>
      <c r="I26" s="75"/>
      <c r="J26" s="75">
        <v>0.0</v>
      </c>
      <c r="K26" s="75"/>
      <c r="L26" s="75">
        <v>0.0</v>
      </c>
      <c r="M26" s="75"/>
      <c r="N26" s="75">
        <v>1.0</v>
      </c>
      <c r="O26" s="75"/>
      <c r="P26" s="75">
        <v>3.0</v>
      </c>
      <c r="Q26" s="75"/>
      <c r="R26" s="75">
        <v>1.0</v>
      </c>
      <c r="S26" s="75"/>
      <c r="T26" s="75">
        <v>0.0</v>
      </c>
      <c r="U26" s="75"/>
      <c r="V26" s="75">
        <v>2.0</v>
      </c>
      <c r="W26" s="75"/>
      <c r="X26" s="75"/>
      <c r="Y26" s="75"/>
      <c r="Z26" s="76">
        <v>0.0</v>
      </c>
      <c r="AA26" s="76">
        <v>0.0</v>
      </c>
      <c r="AB26" s="75"/>
      <c r="AC26" s="75"/>
      <c r="AD26" s="75"/>
      <c r="AE26" s="75"/>
      <c r="AF26" s="75"/>
      <c r="AG26" s="75"/>
      <c r="AH26" s="77">
        <f t="shared" ref="AH26:AI26" si="29">PRODUCT(Z26,5)</f>
        <v>0</v>
      </c>
      <c r="AI26" s="77">
        <f t="shared" si="29"/>
        <v>0</v>
      </c>
      <c r="AJ26" s="75">
        <v>6.0</v>
      </c>
      <c r="AK26" s="75"/>
      <c r="AL26" s="75">
        <v>6.0</v>
      </c>
    </row>
    <row r="27">
      <c r="A27" s="81" t="s">
        <v>30</v>
      </c>
      <c r="B27" s="81" t="s">
        <v>91</v>
      </c>
      <c r="C27" s="92">
        <v>46306.0</v>
      </c>
      <c r="D27" s="81">
        <v>34.0</v>
      </c>
      <c r="E27" s="81">
        <v>24.0</v>
      </c>
      <c r="F27" s="81">
        <v>58.0</v>
      </c>
      <c r="G27" s="93">
        <v>0.5862068965517241</v>
      </c>
      <c r="H27" s="81">
        <v>29.0</v>
      </c>
      <c r="I27" s="81">
        <v>16.0</v>
      </c>
      <c r="J27" s="81">
        <v>0.0</v>
      </c>
      <c r="K27" s="81">
        <v>3.0</v>
      </c>
      <c r="L27" s="81">
        <v>1.0</v>
      </c>
      <c r="M27" s="81">
        <v>2.0</v>
      </c>
      <c r="N27" s="81">
        <v>51.0</v>
      </c>
      <c r="O27" s="81">
        <v>50.0</v>
      </c>
      <c r="P27" s="81">
        <v>32.0</v>
      </c>
      <c r="Q27" s="81">
        <v>14.0</v>
      </c>
      <c r="R27" s="81">
        <v>8.0</v>
      </c>
      <c r="S27" s="81">
        <v>15.0</v>
      </c>
      <c r="T27" s="81">
        <v>2.0</v>
      </c>
      <c r="U27" s="81">
        <v>2.0</v>
      </c>
      <c r="V27" s="81">
        <v>2.0</v>
      </c>
      <c r="W27" s="81">
        <v>5.0</v>
      </c>
      <c r="X27" s="81">
        <v>7.0</v>
      </c>
      <c r="Y27" s="81">
        <v>13.0</v>
      </c>
      <c r="Z27" s="66">
        <v>0.0</v>
      </c>
      <c r="AA27" s="66">
        <v>0.0</v>
      </c>
      <c r="AB27" s="81">
        <v>2.0</v>
      </c>
      <c r="AC27" s="81">
        <v>0.0</v>
      </c>
      <c r="AD27" s="81">
        <v>5.0</v>
      </c>
      <c r="AE27" s="81">
        <v>7.0</v>
      </c>
      <c r="AF27" s="81">
        <v>15.0</v>
      </c>
      <c r="AG27" s="81">
        <v>24.0</v>
      </c>
      <c r="AH27" s="81">
        <v>16.0</v>
      </c>
      <c r="AI27" s="81">
        <v>40.0</v>
      </c>
      <c r="AJ27" s="81">
        <v>17.0</v>
      </c>
      <c r="AK27" s="81">
        <v>15.0</v>
      </c>
      <c r="AL27" s="81">
        <v>170.0</v>
      </c>
    </row>
    <row r="28">
      <c r="A28" s="75" t="s">
        <v>98</v>
      </c>
      <c r="B28" s="75" t="s">
        <v>50</v>
      </c>
      <c r="C28" s="75">
        <v>9.0</v>
      </c>
      <c r="D28" s="75">
        <v>3.0</v>
      </c>
      <c r="E28" s="75">
        <v>12.0</v>
      </c>
      <c r="F28" s="75">
        <v>15.0</v>
      </c>
      <c r="G28" s="94">
        <v>0.2</v>
      </c>
      <c r="H28" s="75">
        <v>2.0</v>
      </c>
      <c r="I28" s="75">
        <v>12.0</v>
      </c>
      <c r="J28" s="75">
        <v>0.0</v>
      </c>
      <c r="K28" s="75">
        <v>0.0</v>
      </c>
      <c r="L28" s="75">
        <v>0.0</v>
      </c>
      <c r="M28" s="75">
        <v>0.0</v>
      </c>
      <c r="N28" s="75">
        <v>5.0</v>
      </c>
      <c r="O28" s="75">
        <v>23.0</v>
      </c>
      <c r="P28" s="75">
        <v>8.0</v>
      </c>
      <c r="Q28" s="75">
        <v>6.0</v>
      </c>
      <c r="R28" s="75">
        <v>1.0</v>
      </c>
      <c r="S28" s="75">
        <v>4.0</v>
      </c>
      <c r="T28" s="75">
        <v>0.0</v>
      </c>
      <c r="U28" s="75">
        <v>0.0</v>
      </c>
      <c r="V28" s="75">
        <v>2.0</v>
      </c>
      <c r="W28" s="75">
        <v>2.0</v>
      </c>
      <c r="X28" s="75">
        <v>0.0</v>
      </c>
      <c r="Y28" s="75">
        <v>5.0</v>
      </c>
      <c r="Z28" s="76">
        <v>0.0</v>
      </c>
      <c r="AA28" s="76">
        <v>0.0</v>
      </c>
      <c r="AB28" s="75">
        <v>0.0</v>
      </c>
      <c r="AC28" s="75">
        <v>6.0</v>
      </c>
      <c r="AD28" s="75">
        <v>0.0</v>
      </c>
      <c r="AE28" s="75">
        <v>6.0</v>
      </c>
      <c r="AF28" s="75">
        <v>0.0</v>
      </c>
      <c r="AG28" s="75">
        <v>20.0</v>
      </c>
      <c r="AH28" s="77">
        <f t="shared" ref="AH28:AI28" si="30">PRODUCT(Z28,5)</f>
        <v>0</v>
      </c>
      <c r="AI28" s="77">
        <f t="shared" si="30"/>
        <v>0</v>
      </c>
      <c r="AJ28" s="75">
        <v>6.0</v>
      </c>
      <c r="AK28" s="75">
        <v>26.0</v>
      </c>
      <c r="AL28" s="75">
        <v>12.0</v>
      </c>
    </row>
    <row r="29">
      <c r="A29" s="81" t="s">
        <v>99</v>
      </c>
      <c r="B29" s="81" t="s">
        <v>91</v>
      </c>
      <c r="C29" s="92">
        <v>46275.0</v>
      </c>
      <c r="D29" s="81">
        <v>16.0</v>
      </c>
      <c r="E29" s="81">
        <v>13.0</v>
      </c>
      <c r="F29" s="81">
        <v>29.0</v>
      </c>
      <c r="G29" s="93">
        <v>0.5517241379310345</v>
      </c>
      <c r="H29" s="81">
        <v>12.0</v>
      </c>
      <c r="I29" s="81">
        <v>9.0</v>
      </c>
      <c r="J29" s="81">
        <v>0.0</v>
      </c>
      <c r="K29" s="81">
        <v>3.0</v>
      </c>
      <c r="L29" s="81">
        <v>0.0</v>
      </c>
      <c r="M29" s="81">
        <v>0.0</v>
      </c>
      <c r="N29" s="81">
        <v>13.0</v>
      </c>
      <c r="O29" s="81">
        <v>34.0</v>
      </c>
      <c r="P29" s="81">
        <v>9.0</v>
      </c>
      <c r="Q29" s="81">
        <v>13.0</v>
      </c>
      <c r="R29" s="81">
        <v>7.0</v>
      </c>
      <c r="S29" s="81">
        <v>5.0</v>
      </c>
      <c r="T29" s="81">
        <v>1.0</v>
      </c>
      <c r="U29" s="81">
        <v>3.0</v>
      </c>
      <c r="V29" s="81">
        <v>1.0</v>
      </c>
      <c r="W29" s="81">
        <v>1.0</v>
      </c>
      <c r="X29" s="81">
        <v>3.0</v>
      </c>
      <c r="Y29" s="81">
        <v>15.0</v>
      </c>
      <c r="Z29" s="66">
        <v>0.0</v>
      </c>
      <c r="AA29" s="66">
        <v>0.0</v>
      </c>
      <c r="AB29" s="81">
        <v>2.0</v>
      </c>
      <c r="AC29" s="81">
        <v>0.0</v>
      </c>
      <c r="AD29" s="81">
        <v>3.0</v>
      </c>
      <c r="AE29" s="81">
        <v>9.0</v>
      </c>
      <c r="AF29" s="81">
        <v>4.0</v>
      </c>
      <c r="AG29" s="81">
        <v>16.0</v>
      </c>
      <c r="AH29" s="81">
        <v>8.0</v>
      </c>
      <c r="AI29" s="81">
        <v>44.0</v>
      </c>
      <c r="AJ29" s="81">
        <v>9.0</v>
      </c>
      <c r="AK29" s="81">
        <v>19.0</v>
      </c>
      <c r="AL29" s="81">
        <v>68.0</v>
      </c>
    </row>
    <row r="30">
      <c r="A30" s="75" t="s">
        <v>14</v>
      </c>
      <c r="B30" s="75" t="s">
        <v>100</v>
      </c>
      <c r="C30" s="95">
        <v>45577.0</v>
      </c>
      <c r="D30" s="75">
        <v>21.0</v>
      </c>
      <c r="E30" s="75">
        <v>14.0</v>
      </c>
      <c r="F30" s="75">
        <v>0.0</v>
      </c>
      <c r="G30" s="87">
        <v>0.6</v>
      </c>
      <c r="H30" s="75">
        <v>19.0</v>
      </c>
      <c r="I30" s="75">
        <v>0.0</v>
      </c>
      <c r="J30" s="75">
        <v>0.0</v>
      </c>
      <c r="K30" s="75">
        <v>0.0</v>
      </c>
      <c r="L30" s="75">
        <v>0.0</v>
      </c>
      <c r="M30" s="75">
        <v>0.0</v>
      </c>
      <c r="N30" s="75">
        <v>19.0</v>
      </c>
      <c r="O30" s="75">
        <v>0.0</v>
      </c>
      <c r="P30" s="75">
        <v>12.0</v>
      </c>
      <c r="Q30" s="75">
        <v>0.0</v>
      </c>
      <c r="R30" s="75">
        <v>5.0</v>
      </c>
      <c r="S30" s="75">
        <v>0.0</v>
      </c>
      <c r="T30" s="75">
        <v>1.0</v>
      </c>
      <c r="U30" s="75">
        <v>0.0</v>
      </c>
      <c r="V30" s="75">
        <v>1.0</v>
      </c>
      <c r="W30" s="75">
        <v>0.0</v>
      </c>
      <c r="X30" s="75"/>
      <c r="Y30" s="75"/>
      <c r="Z30" s="76">
        <v>0.0</v>
      </c>
      <c r="AA30" s="76">
        <v>0.0</v>
      </c>
      <c r="AB30" s="75">
        <v>0.0</v>
      </c>
      <c r="AC30" s="75">
        <v>0.0</v>
      </c>
      <c r="AD30" s="75">
        <v>0.0</v>
      </c>
      <c r="AE30" s="75">
        <v>0.0</v>
      </c>
      <c r="AF30" s="75"/>
      <c r="AG30" s="75"/>
      <c r="AH30" s="77">
        <f t="shared" ref="AH30:AI30" si="31">PRODUCT(Z30,5)</f>
        <v>0</v>
      </c>
      <c r="AI30" s="77">
        <f t="shared" si="31"/>
        <v>0</v>
      </c>
      <c r="AJ30" s="75">
        <v>5.0</v>
      </c>
      <c r="AK30" s="75">
        <v>0.0</v>
      </c>
      <c r="AL30" s="75">
        <v>126.0</v>
      </c>
    </row>
    <row r="31">
      <c r="A31" s="81" t="s">
        <v>101</v>
      </c>
      <c r="B31" s="81">
        <v>2020.0</v>
      </c>
      <c r="C31" s="81"/>
      <c r="D31" s="81">
        <v>2.0</v>
      </c>
      <c r="E31" s="81">
        <v>4.0</v>
      </c>
      <c r="F31" s="81"/>
      <c r="G31" s="89">
        <f t="shared" ref="G31:G33" si="33">PRODUCT(D31,(1/(D31+E31)))</f>
        <v>0.3333333333</v>
      </c>
      <c r="H31" s="81">
        <v>1.0</v>
      </c>
      <c r="I31" s="81"/>
      <c r="J31" s="81">
        <v>0.0</v>
      </c>
      <c r="K31" s="81"/>
      <c r="L31" s="81">
        <v>1.0</v>
      </c>
      <c r="M31" s="81"/>
      <c r="N31" s="81">
        <v>3.0</v>
      </c>
      <c r="O31" s="81"/>
      <c r="P31" s="81">
        <v>2.0</v>
      </c>
      <c r="Q31" s="81"/>
      <c r="R31" s="81">
        <v>0.0</v>
      </c>
      <c r="S31" s="81"/>
      <c r="T31" s="81">
        <v>0.0</v>
      </c>
      <c r="U31" s="81"/>
      <c r="V31" s="81">
        <v>1.0</v>
      </c>
      <c r="W31" s="81"/>
      <c r="X31" s="81"/>
      <c r="Y31" s="81"/>
      <c r="Z31" s="66">
        <v>0.0</v>
      </c>
      <c r="AA31" s="66">
        <v>0.0</v>
      </c>
      <c r="AB31" s="81"/>
      <c r="AC31" s="81"/>
      <c r="AD31" s="81"/>
      <c r="AE31" s="81"/>
      <c r="AF31" s="81"/>
      <c r="AG31" s="81"/>
      <c r="AH31" s="80">
        <f t="shared" ref="AH31:AI31" si="32">PRODUCT(Z31,5)</f>
        <v>0</v>
      </c>
      <c r="AI31" s="80">
        <f t="shared" si="32"/>
        <v>0</v>
      </c>
      <c r="AJ31" s="81">
        <v>3.0</v>
      </c>
      <c r="AK31" s="81"/>
      <c r="AL31" s="81">
        <v>10.0</v>
      </c>
    </row>
    <row r="32">
      <c r="A32" s="25" t="s">
        <v>15</v>
      </c>
      <c r="B32" s="25" t="s">
        <v>39</v>
      </c>
      <c r="C32" s="86">
        <v>45547.0</v>
      </c>
      <c r="D32" s="25">
        <v>65.0</v>
      </c>
      <c r="E32" s="25">
        <v>25.0</v>
      </c>
      <c r="F32" s="25">
        <v>41.0</v>
      </c>
      <c r="G32" s="87">
        <f t="shared" si="33"/>
        <v>0.7222222222</v>
      </c>
      <c r="H32" s="25">
        <v>46.0</v>
      </c>
      <c r="I32" s="25">
        <v>4.0</v>
      </c>
      <c r="J32" s="25">
        <v>1.0</v>
      </c>
      <c r="K32" s="25">
        <v>0.0</v>
      </c>
      <c r="L32" s="25">
        <v>6.0</v>
      </c>
      <c r="M32" s="25">
        <v>0.0</v>
      </c>
      <c r="N32" s="25">
        <v>96.0</v>
      </c>
      <c r="O32" s="25">
        <v>9.0</v>
      </c>
      <c r="P32" s="25">
        <v>14.0</v>
      </c>
      <c r="Q32" s="25">
        <v>12.0</v>
      </c>
      <c r="R32" s="25">
        <v>30.0</v>
      </c>
      <c r="S32" s="25">
        <v>3.0</v>
      </c>
      <c r="T32" s="25">
        <v>16.0</v>
      </c>
      <c r="U32" s="25">
        <v>0.0</v>
      </c>
      <c r="V32" s="25">
        <v>26.0</v>
      </c>
      <c r="W32" s="25">
        <v>4.0</v>
      </c>
      <c r="X32" s="25"/>
      <c r="Y32" s="25"/>
      <c r="Z32" s="76">
        <v>0.0</v>
      </c>
      <c r="AA32" s="76">
        <v>0.0</v>
      </c>
      <c r="AB32" s="25">
        <v>12.0</v>
      </c>
      <c r="AC32" s="25">
        <v>0.0</v>
      </c>
      <c r="AD32" s="25">
        <v>33.0</v>
      </c>
      <c r="AE32" s="25">
        <v>16.0</v>
      </c>
      <c r="AF32" s="25"/>
      <c r="AG32" s="25"/>
      <c r="AH32" s="77">
        <f t="shared" ref="AH32:AI32" si="34">PRODUCT(Z32,5)</f>
        <v>0</v>
      </c>
      <c r="AI32" s="77">
        <f t="shared" si="34"/>
        <v>0</v>
      </c>
      <c r="AJ32" s="75">
        <v>111.0</v>
      </c>
      <c r="AK32" s="75">
        <v>12.0</v>
      </c>
      <c r="AL32" s="25">
        <v>350.0</v>
      </c>
    </row>
    <row r="33">
      <c r="A33" s="81" t="s">
        <v>102</v>
      </c>
      <c r="B33" s="81">
        <v>2019.0</v>
      </c>
      <c r="C33" s="81"/>
      <c r="D33" s="81">
        <v>0.0</v>
      </c>
      <c r="E33" s="81">
        <v>1.0</v>
      </c>
      <c r="F33" s="81"/>
      <c r="G33" s="89">
        <f t="shared" si="33"/>
        <v>0</v>
      </c>
      <c r="H33" s="81">
        <v>0.0</v>
      </c>
      <c r="I33" s="81"/>
      <c r="J33" s="81">
        <v>0.0</v>
      </c>
      <c r="K33" s="81"/>
      <c r="L33" s="81">
        <v>0.0</v>
      </c>
      <c r="M33" s="81"/>
      <c r="N33" s="81">
        <v>2.0</v>
      </c>
      <c r="O33" s="81"/>
      <c r="P33" s="81">
        <v>0.0</v>
      </c>
      <c r="Q33" s="81"/>
      <c r="R33" s="81">
        <v>0.0</v>
      </c>
      <c r="S33" s="81"/>
      <c r="T33" s="81">
        <v>0.0</v>
      </c>
      <c r="U33" s="81"/>
      <c r="V33" s="81">
        <v>0.0</v>
      </c>
      <c r="W33" s="81"/>
      <c r="X33" s="81"/>
      <c r="Y33" s="81"/>
      <c r="Z33" s="66">
        <v>0.0</v>
      </c>
      <c r="AA33" s="66">
        <v>0.0</v>
      </c>
      <c r="AB33" s="81"/>
      <c r="AC33" s="81"/>
      <c r="AD33" s="81"/>
      <c r="AE33" s="81"/>
      <c r="AF33" s="81"/>
      <c r="AG33" s="81"/>
      <c r="AH33" s="80">
        <f t="shared" ref="AH33:AI33" si="35">PRODUCT(Z33,5)</f>
        <v>0</v>
      </c>
      <c r="AI33" s="80">
        <f t="shared" si="35"/>
        <v>0</v>
      </c>
      <c r="AJ33" s="81">
        <v>0.0</v>
      </c>
      <c r="AK33" s="81"/>
      <c r="AL33" s="81">
        <v>0.0</v>
      </c>
    </row>
    <row r="34">
      <c r="A34" s="25" t="s">
        <v>103</v>
      </c>
      <c r="B34" s="75">
        <v>2024.0</v>
      </c>
      <c r="C34" s="25">
        <v>9.0</v>
      </c>
      <c r="D34" s="25">
        <v>9.0</v>
      </c>
      <c r="E34" s="25">
        <v>10.0</v>
      </c>
      <c r="F34" s="25">
        <f>SUM(D34:E34)</f>
        <v>19</v>
      </c>
      <c r="G34" s="43">
        <f t="shared" ref="G34:G35" si="39">PRODUCT(D34, (1/F34))</f>
        <v>0.4736842105</v>
      </c>
      <c r="H34" s="25">
        <v>8.0</v>
      </c>
      <c r="I34" s="25">
        <v>10.0</v>
      </c>
      <c r="J34" s="25">
        <v>0.0</v>
      </c>
      <c r="K34" s="25">
        <v>0.0</v>
      </c>
      <c r="L34" s="25">
        <v>0.0</v>
      </c>
      <c r="M34" s="25">
        <v>0.0</v>
      </c>
      <c r="N34" s="25">
        <v>13.0</v>
      </c>
      <c r="O34" s="25">
        <v>18.0</v>
      </c>
      <c r="P34" s="25">
        <v>7.0</v>
      </c>
      <c r="Q34" s="25">
        <v>2.0</v>
      </c>
      <c r="R34" s="25">
        <v>4.0</v>
      </c>
      <c r="S34" s="25">
        <v>2.0</v>
      </c>
      <c r="T34" s="25">
        <v>4.0</v>
      </c>
      <c r="U34" s="25">
        <v>0.0</v>
      </c>
      <c r="V34" s="25">
        <v>3.0</v>
      </c>
      <c r="W34" s="25">
        <v>3.0</v>
      </c>
      <c r="X34" s="25"/>
      <c r="Y34" s="25"/>
      <c r="Z34" s="76">
        <v>0.0</v>
      </c>
      <c r="AA34" s="76">
        <v>0.0</v>
      </c>
      <c r="AB34" s="25">
        <f t="shared" ref="AB34:AC34" si="36">PRODUCT(T34,2)</f>
        <v>8</v>
      </c>
      <c r="AC34" s="25">
        <f t="shared" si="36"/>
        <v>0</v>
      </c>
      <c r="AD34" s="25">
        <f t="shared" ref="AD34:AE34" si="37">PRODUCT(V34,3)</f>
        <v>9</v>
      </c>
      <c r="AE34" s="25">
        <f t="shared" si="37"/>
        <v>9</v>
      </c>
      <c r="AF34" s="25"/>
      <c r="AG34" s="25"/>
      <c r="AH34" s="77">
        <f t="shared" ref="AH34:AI34" si="38">PRODUCT(Z34,5)</f>
        <v>0</v>
      </c>
      <c r="AI34" s="77">
        <f t="shared" si="38"/>
        <v>0</v>
      </c>
      <c r="AJ34" s="25">
        <f>SUM(AD34,AE34)</f>
        <v>18</v>
      </c>
      <c r="AK34" s="25">
        <f>SUM(AB34,AC34)</f>
        <v>8</v>
      </c>
      <c r="AL34" s="25">
        <v>44.0</v>
      </c>
    </row>
    <row r="35">
      <c r="A35" s="13" t="s">
        <v>104</v>
      </c>
      <c r="B35" s="81" t="s">
        <v>43</v>
      </c>
      <c r="C35" s="13">
        <v>10.0</v>
      </c>
      <c r="D35" s="13">
        <v>14.0</v>
      </c>
      <c r="E35" s="13">
        <v>33.0</v>
      </c>
      <c r="F35" s="13">
        <v>47.0</v>
      </c>
      <c r="G35" s="42">
        <f t="shared" si="39"/>
        <v>0.2978723404</v>
      </c>
      <c r="H35" s="13">
        <v>6.0</v>
      </c>
      <c r="I35" s="13">
        <v>31.0</v>
      </c>
      <c r="J35" s="13">
        <v>0.0</v>
      </c>
      <c r="K35" s="13">
        <v>0.0</v>
      </c>
      <c r="L35" s="13">
        <v>0.0</v>
      </c>
      <c r="M35" s="13">
        <v>2.0</v>
      </c>
      <c r="N35" s="13">
        <v>4.0</v>
      </c>
      <c r="O35" s="13">
        <v>45.0</v>
      </c>
      <c r="P35" s="13">
        <v>4.0</v>
      </c>
      <c r="Q35" s="13">
        <v>2.0</v>
      </c>
      <c r="R35" s="13">
        <v>9.0</v>
      </c>
      <c r="S35" s="13">
        <v>12.0</v>
      </c>
      <c r="T35" s="13">
        <v>2.0</v>
      </c>
      <c r="U35" s="13">
        <v>13.0</v>
      </c>
      <c r="V35" s="13">
        <v>1.0</v>
      </c>
      <c r="W35" s="13">
        <v>14.0</v>
      </c>
      <c r="X35" s="13"/>
      <c r="Y35" s="13"/>
      <c r="Z35" s="66">
        <v>0.0</v>
      </c>
      <c r="AA35" s="66">
        <v>0.0</v>
      </c>
      <c r="AB35" s="13">
        <v>18.0</v>
      </c>
      <c r="AC35" s="13">
        <v>18.0</v>
      </c>
      <c r="AD35" s="13">
        <v>3.0</v>
      </c>
      <c r="AE35" s="13">
        <v>28.0</v>
      </c>
      <c r="AF35" s="13"/>
      <c r="AG35" s="13"/>
      <c r="AH35" s="80">
        <f t="shared" ref="AH35:AI35" si="40">PRODUCT(Z35,5)</f>
        <v>0</v>
      </c>
      <c r="AI35" s="80">
        <f t="shared" si="40"/>
        <v>0</v>
      </c>
      <c r="AJ35" s="13">
        <v>7.0</v>
      </c>
      <c r="AK35" s="13">
        <v>60.0</v>
      </c>
      <c r="AL35" s="13">
        <v>37.0</v>
      </c>
    </row>
    <row r="36">
      <c r="A36" s="25" t="s">
        <v>105</v>
      </c>
      <c r="B36" s="75" t="s">
        <v>88</v>
      </c>
      <c r="C36" s="75"/>
      <c r="D36" s="75">
        <v>7.0</v>
      </c>
      <c r="E36" s="75">
        <v>14.0</v>
      </c>
      <c r="F36" s="75">
        <v>0.0</v>
      </c>
      <c r="G36" s="87">
        <v>0.3333333333333333</v>
      </c>
      <c r="H36" s="75">
        <v>3.0</v>
      </c>
      <c r="I36" s="75">
        <v>0.0</v>
      </c>
      <c r="J36" s="75">
        <v>0.0</v>
      </c>
      <c r="K36" s="75">
        <v>0.0</v>
      </c>
      <c r="L36" s="75">
        <v>0.0</v>
      </c>
      <c r="M36" s="75">
        <v>0.0</v>
      </c>
      <c r="N36" s="75">
        <v>10.0</v>
      </c>
      <c r="O36" s="75">
        <v>0.0</v>
      </c>
      <c r="P36" s="75">
        <v>14.0</v>
      </c>
      <c r="Q36" s="75">
        <v>0.0</v>
      </c>
      <c r="R36" s="75">
        <v>4.0</v>
      </c>
      <c r="S36" s="75">
        <v>0.0</v>
      </c>
      <c r="T36" s="75">
        <v>0.0</v>
      </c>
      <c r="U36" s="75">
        <v>0.0</v>
      </c>
      <c r="V36" s="75">
        <v>1.0</v>
      </c>
      <c r="W36" s="75">
        <v>0.0</v>
      </c>
      <c r="X36" s="75"/>
      <c r="Y36" s="75"/>
      <c r="Z36" s="76">
        <v>0.0</v>
      </c>
      <c r="AA36" s="76">
        <v>0.0</v>
      </c>
      <c r="AB36" s="75">
        <v>0.0</v>
      </c>
      <c r="AC36" s="75">
        <v>0.0</v>
      </c>
      <c r="AD36" s="75">
        <v>0.0</v>
      </c>
      <c r="AE36" s="75">
        <v>0.0</v>
      </c>
      <c r="AF36" s="75"/>
      <c r="AG36" s="75"/>
      <c r="AH36" s="77">
        <f t="shared" ref="AH36:AI36" si="41">PRODUCT(Z36,5)</f>
        <v>0</v>
      </c>
      <c r="AI36" s="77">
        <f t="shared" si="41"/>
        <v>0</v>
      </c>
      <c r="AJ36" s="75">
        <v>3.0</v>
      </c>
      <c r="AK36" s="75">
        <v>0.0</v>
      </c>
      <c r="AL36" s="75">
        <v>33.0</v>
      </c>
    </row>
    <row r="37">
      <c r="A37" s="13" t="s">
        <v>7</v>
      </c>
      <c r="B37" s="81" t="s">
        <v>55</v>
      </c>
      <c r="C37" s="83">
        <v>45942.0</v>
      </c>
      <c r="D37" s="13">
        <v>64.0</v>
      </c>
      <c r="E37" s="13">
        <v>32.0</v>
      </c>
      <c r="F37" s="13">
        <v>43.0</v>
      </c>
      <c r="G37" s="90">
        <v>0.6666666666666666</v>
      </c>
      <c r="H37" s="13">
        <v>49.0</v>
      </c>
      <c r="I37" s="13">
        <v>19.0</v>
      </c>
      <c r="J37" s="13">
        <v>2.0</v>
      </c>
      <c r="K37" s="13">
        <v>5.0</v>
      </c>
      <c r="L37" s="13">
        <v>0.0</v>
      </c>
      <c r="M37" s="13">
        <v>0.0</v>
      </c>
      <c r="N37" s="13">
        <v>54.0</v>
      </c>
      <c r="O37" s="13">
        <v>91.0</v>
      </c>
      <c r="P37" s="13">
        <v>37.0</v>
      </c>
      <c r="Q37" s="13">
        <v>25.0</v>
      </c>
      <c r="R37" s="13">
        <v>21.0</v>
      </c>
      <c r="S37" s="13">
        <v>27.0</v>
      </c>
      <c r="T37" s="13">
        <v>8.0</v>
      </c>
      <c r="U37" s="13">
        <v>5.0</v>
      </c>
      <c r="V37" s="13">
        <v>3.0</v>
      </c>
      <c r="W37" s="13">
        <v>14.0</v>
      </c>
      <c r="X37" s="13">
        <v>10.0</v>
      </c>
      <c r="Y37" s="13">
        <v>10.0</v>
      </c>
      <c r="Z37" s="66">
        <v>0.0</v>
      </c>
      <c r="AA37" s="66">
        <v>0.0</v>
      </c>
      <c r="AB37" s="13">
        <v>10.0</v>
      </c>
      <c r="AC37" s="13">
        <v>42.0</v>
      </c>
      <c r="AD37" s="13">
        <v>16.0</v>
      </c>
      <c r="AE37" s="13">
        <v>9.0</v>
      </c>
      <c r="AF37" s="13">
        <v>40.0</v>
      </c>
      <c r="AG37" s="13">
        <v>40.0</v>
      </c>
      <c r="AH37" s="80">
        <f t="shared" ref="AH37:AI37" si="42">PRODUCT(Z37,5)</f>
        <v>0</v>
      </c>
      <c r="AI37" s="80">
        <f t="shared" si="42"/>
        <v>0</v>
      </c>
      <c r="AJ37" s="13">
        <v>65.0</v>
      </c>
      <c r="AK37" s="13">
        <v>92.0</v>
      </c>
      <c r="AL37" s="13">
        <v>309.0</v>
      </c>
    </row>
    <row r="38">
      <c r="A38" s="75" t="s">
        <v>106</v>
      </c>
      <c r="B38" s="75" t="s">
        <v>88</v>
      </c>
      <c r="C38" s="75"/>
      <c r="D38" s="75">
        <v>4.0</v>
      </c>
      <c r="E38" s="75">
        <v>32.0</v>
      </c>
      <c r="F38" s="75">
        <v>0.0</v>
      </c>
      <c r="G38" s="87">
        <v>0.1111111111111111</v>
      </c>
      <c r="H38" s="75">
        <v>3.0</v>
      </c>
      <c r="I38" s="75">
        <v>0.0</v>
      </c>
      <c r="J38" s="75">
        <v>0.0</v>
      </c>
      <c r="K38" s="75">
        <v>0.0</v>
      </c>
      <c r="L38" s="75">
        <v>0.0</v>
      </c>
      <c r="M38" s="75">
        <v>0.0</v>
      </c>
      <c r="N38" s="75">
        <v>18.0</v>
      </c>
      <c r="O38" s="75">
        <v>0.0</v>
      </c>
      <c r="P38" s="75">
        <v>4.0</v>
      </c>
      <c r="Q38" s="75">
        <v>0.0</v>
      </c>
      <c r="R38" s="75">
        <v>12.0</v>
      </c>
      <c r="S38" s="75">
        <v>0.0</v>
      </c>
      <c r="T38" s="75">
        <v>4.0</v>
      </c>
      <c r="U38" s="75">
        <v>0.0</v>
      </c>
      <c r="V38" s="75">
        <v>0.0</v>
      </c>
      <c r="W38" s="75">
        <v>0.0</v>
      </c>
      <c r="X38" s="75"/>
      <c r="Y38" s="75"/>
      <c r="Z38" s="76">
        <v>0.0</v>
      </c>
      <c r="AA38" s="76">
        <v>0.0</v>
      </c>
      <c r="AB38" s="75">
        <v>0.0</v>
      </c>
      <c r="AC38" s="75">
        <v>0.0</v>
      </c>
      <c r="AD38" s="75">
        <v>0.0</v>
      </c>
      <c r="AE38" s="75">
        <v>0.0</v>
      </c>
      <c r="AF38" s="75"/>
      <c r="AG38" s="75"/>
      <c r="AH38" s="77">
        <f t="shared" ref="AH38:AI38" si="43">PRODUCT(Z38,5)</f>
        <v>0</v>
      </c>
      <c r="AI38" s="77">
        <f t="shared" si="43"/>
        <v>0</v>
      </c>
      <c r="AJ38" s="75">
        <v>8.0</v>
      </c>
      <c r="AK38" s="75">
        <v>0.0</v>
      </c>
      <c r="AL38" s="75">
        <v>21.0</v>
      </c>
    </row>
    <row r="39">
      <c r="A39" s="81" t="s">
        <v>107</v>
      </c>
      <c r="B39" s="81" t="s">
        <v>100</v>
      </c>
      <c r="C39" s="92">
        <v>45577.0</v>
      </c>
      <c r="D39" s="81">
        <v>18.0</v>
      </c>
      <c r="E39" s="81">
        <v>19.0</v>
      </c>
      <c r="F39" s="81">
        <v>0.0</v>
      </c>
      <c r="G39" s="89">
        <v>0.4864864864864865</v>
      </c>
      <c r="H39" s="81">
        <v>13.0</v>
      </c>
      <c r="I39" s="81">
        <v>0.0</v>
      </c>
      <c r="J39" s="81">
        <v>0.0</v>
      </c>
      <c r="K39" s="81">
        <v>0.0</v>
      </c>
      <c r="L39" s="81">
        <v>2.0</v>
      </c>
      <c r="M39" s="81">
        <v>0.0</v>
      </c>
      <c r="N39" s="81">
        <v>19.0</v>
      </c>
      <c r="O39" s="81">
        <v>0.0</v>
      </c>
      <c r="P39" s="81">
        <v>10.0</v>
      </c>
      <c r="Q39" s="81">
        <v>0.0</v>
      </c>
      <c r="R39" s="81">
        <v>4.0</v>
      </c>
      <c r="S39" s="81">
        <v>0.0</v>
      </c>
      <c r="T39" s="81">
        <v>2.0</v>
      </c>
      <c r="U39" s="81">
        <v>0.0</v>
      </c>
      <c r="V39" s="81">
        <v>9.0</v>
      </c>
      <c r="W39" s="81">
        <v>0.0</v>
      </c>
      <c r="X39" s="81"/>
      <c r="Y39" s="81"/>
      <c r="Z39" s="66">
        <v>0.0</v>
      </c>
      <c r="AA39" s="66">
        <v>0.0</v>
      </c>
      <c r="AB39" s="81">
        <v>0.0</v>
      </c>
      <c r="AC39" s="81">
        <v>0.0</v>
      </c>
      <c r="AD39" s="81">
        <v>0.0</v>
      </c>
      <c r="AE39" s="81">
        <v>0.0</v>
      </c>
      <c r="AF39" s="81"/>
      <c r="AG39" s="81"/>
      <c r="AH39" s="80">
        <f t="shared" ref="AH39:AI39" si="44">PRODUCT(Z39,5)</f>
        <v>0</v>
      </c>
      <c r="AI39" s="80">
        <f t="shared" si="44"/>
        <v>0</v>
      </c>
      <c r="AJ39" s="81">
        <v>31.0</v>
      </c>
      <c r="AK39" s="81">
        <v>0.0</v>
      </c>
      <c r="AL39" s="81">
        <v>104.0</v>
      </c>
    </row>
    <row r="40">
      <c r="A40" s="75" t="s">
        <v>108</v>
      </c>
      <c r="B40" s="75" t="s">
        <v>88</v>
      </c>
      <c r="C40" s="75"/>
      <c r="D40" s="75">
        <v>11.0</v>
      </c>
      <c r="E40" s="75">
        <v>21.0</v>
      </c>
      <c r="F40" s="75">
        <v>0.0</v>
      </c>
      <c r="G40" s="87">
        <v>0.34375</v>
      </c>
      <c r="H40" s="75">
        <v>9.0</v>
      </c>
      <c r="I40" s="75">
        <v>0.0</v>
      </c>
      <c r="J40" s="75">
        <v>0.0</v>
      </c>
      <c r="K40" s="75">
        <v>0.0</v>
      </c>
      <c r="L40" s="75">
        <v>0.0</v>
      </c>
      <c r="M40" s="75">
        <v>0.0</v>
      </c>
      <c r="N40" s="75">
        <v>12.0</v>
      </c>
      <c r="O40" s="75">
        <v>0.0</v>
      </c>
      <c r="P40" s="75">
        <v>8.0</v>
      </c>
      <c r="Q40" s="75">
        <v>0.0</v>
      </c>
      <c r="R40" s="75">
        <v>15.0</v>
      </c>
      <c r="S40" s="75">
        <v>0.0</v>
      </c>
      <c r="T40" s="75">
        <v>7.0</v>
      </c>
      <c r="U40" s="75">
        <v>0.0</v>
      </c>
      <c r="V40" s="75">
        <v>2.0</v>
      </c>
      <c r="W40" s="75">
        <v>0.0</v>
      </c>
      <c r="X40" s="75"/>
      <c r="Y40" s="75"/>
      <c r="Z40" s="76">
        <v>0.0</v>
      </c>
      <c r="AA40" s="76">
        <v>0.0</v>
      </c>
      <c r="AB40" s="75">
        <v>0.0</v>
      </c>
      <c r="AC40" s="75">
        <v>0.0</v>
      </c>
      <c r="AD40" s="75">
        <v>0.0</v>
      </c>
      <c r="AE40" s="75">
        <v>0.0</v>
      </c>
      <c r="AF40" s="75"/>
      <c r="AG40" s="75"/>
      <c r="AH40" s="77">
        <f t="shared" ref="AH40:AI40" si="45">PRODUCT(Z40,5)</f>
        <v>0</v>
      </c>
      <c r="AI40" s="77">
        <f t="shared" si="45"/>
        <v>0</v>
      </c>
      <c r="AJ40" s="75">
        <v>20.0</v>
      </c>
      <c r="AK40" s="75">
        <v>0.0</v>
      </c>
      <c r="AL40" s="75">
        <v>60.0</v>
      </c>
    </row>
    <row r="41">
      <c r="A41" s="81" t="s">
        <v>109</v>
      </c>
      <c r="B41" s="81">
        <v>2022.0</v>
      </c>
      <c r="C41" s="81">
        <v>10.0</v>
      </c>
      <c r="D41" s="81">
        <v>5.0</v>
      </c>
      <c r="E41" s="81">
        <v>16.0</v>
      </c>
      <c r="F41" s="81"/>
      <c r="G41" s="89">
        <f t="shared" ref="G41:G42" si="47">PRODUCT(D41,(1/(D41+E41)))</f>
        <v>0.2380952381</v>
      </c>
      <c r="H41" s="81">
        <v>3.0</v>
      </c>
      <c r="I41" s="81"/>
      <c r="J41" s="81">
        <v>0.0</v>
      </c>
      <c r="K41" s="81"/>
      <c r="L41" s="81">
        <v>0.0</v>
      </c>
      <c r="M41" s="81"/>
      <c r="N41" s="81">
        <v>7.0</v>
      </c>
      <c r="O41" s="81"/>
      <c r="P41" s="81">
        <v>5.0</v>
      </c>
      <c r="Q41" s="81"/>
      <c r="R41" s="81">
        <v>2.0</v>
      </c>
      <c r="S41" s="81"/>
      <c r="T41" s="81">
        <v>0.0</v>
      </c>
      <c r="U41" s="81"/>
      <c r="V41" s="81">
        <v>1.0</v>
      </c>
      <c r="W41" s="81"/>
      <c r="X41" s="81"/>
      <c r="Y41" s="81"/>
      <c r="Z41" s="66">
        <v>0.0</v>
      </c>
      <c r="AA41" s="66">
        <v>0.0</v>
      </c>
      <c r="AB41" s="81"/>
      <c r="AC41" s="81"/>
      <c r="AD41" s="81"/>
      <c r="AE41" s="81"/>
      <c r="AF41" s="81"/>
      <c r="AG41" s="81"/>
      <c r="AH41" s="80">
        <f t="shared" ref="AH41:AI41" si="46">PRODUCT(Z41,5)</f>
        <v>0</v>
      </c>
      <c r="AI41" s="80">
        <f t="shared" si="46"/>
        <v>0</v>
      </c>
      <c r="AJ41" s="81">
        <v>3.0</v>
      </c>
      <c r="AK41" s="81"/>
      <c r="AL41" s="81">
        <v>30.0</v>
      </c>
    </row>
    <row r="42">
      <c r="A42" s="25" t="s">
        <v>25</v>
      </c>
      <c r="B42" s="25" t="s">
        <v>80</v>
      </c>
      <c r="C42" s="86">
        <v>45608.0</v>
      </c>
      <c r="D42" s="25">
        <v>9.0</v>
      </c>
      <c r="E42" s="25">
        <v>17.0</v>
      </c>
      <c r="F42" s="25">
        <v>18.0</v>
      </c>
      <c r="G42" s="87">
        <f t="shared" si="47"/>
        <v>0.3461538462</v>
      </c>
      <c r="H42" s="25">
        <v>4.0</v>
      </c>
      <c r="I42" s="25">
        <v>8.0</v>
      </c>
      <c r="J42" s="25">
        <v>0.0</v>
      </c>
      <c r="K42" s="25">
        <v>0.0</v>
      </c>
      <c r="L42" s="25">
        <v>0.0</v>
      </c>
      <c r="M42" s="25">
        <v>2.0</v>
      </c>
      <c r="N42" s="25">
        <v>14.0</v>
      </c>
      <c r="O42" s="25">
        <v>17.0</v>
      </c>
      <c r="P42" s="25">
        <v>12.0</v>
      </c>
      <c r="Q42" s="25">
        <v>4.0</v>
      </c>
      <c r="R42" s="25">
        <v>8.0</v>
      </c>
      <c r="S42" s="25">
        <v>5.0</v>
      </c>
      <c r="T42" s="25">
        <v>3.0</v>
      </c>
      <c r="U42" s="25">
        <v>7.0</v>
      </c>
      <c r="V42" s="25">
        <v>4.0</v>
      </c>
      <c r="W42" s="25">
        <v>5.0</v>
      </c>
      <c r="X42" s="25"/>
      <c r="Y42" s="25"/>
      <c r="Z42" s="76">
        <v>0.0</v>
      </c>
      <c r="AA42" s="76">
        <v>0.0</v>
      </c>
      <c r="AB42" s="25">
        <v>15.0</v>
      </c>
      <c r="AC42" s="25">
        <v>14.0</v>
      </c>
      <c r="AD42" s="25">
        <v>9.0</v>
      </c>
      <c r="AE42" s="25">
        <v>2.0</v>
      </c>
      <c r="AF42" s="25"/>
      <c r="AG42" s="25"/>
      <c r="AH42" s="77">
        <f t="shared" ref="AH42:AI42" si="48">PRODUCT(Z42,5)</f>
        <v>0</v>
      </c>
      <c r="AI42" s="77">
        <f t="shared" si="48"/>
        <v>0</v>
      </c>
      <c r="AJ42" s="75">
        <v>18.0</v>
      </c>
      <c r="AK42" s="75">
        <v>29.0</v>
      </c>
      <c r="AL42" s="25">
        <v>24.0</v>
      </c>
    </row>
    <row r="43">
      <c r="A43" s="13" t="s">
        <v>110</v>
      </c>
      <c r="B43" s="81" t="s">
        <v>55</v>
      </c>
      <c r="C43" s="83">
        <v>45942.0</v>
      </c>
      <c r="D43" s="13">
        <v>41.0</v>
      </c>
      <c r="E43" s="13">
        <v>33.0</v>
      </c>
      <c r="F43" s="13">
        <v>40.0</v>
      </c>
      <c r="G43" s="90">
        <v>0.5540540540540541</v>
      </c>
      <c r="H43" s="13">
        <v>29.0</v>
      </c>
      <c r="I43" s="13">
        <v>18.0</v>
      </c>
      <c r="J43" s="13">
        <v>0.0</v>
      </c>
      <c r="K43" s="13">
        <v>2.0</v>
      </c>
      <c r="L43" s="13">
        <v>0.0</v>
      </c>
      <c r="M43" s="13">
        <v>1.0</v>
      </c>
      <c r="N43" s="13">
        <v>45.0</v>
      </c>
      <c r="O43" s="13">
        <v>99.0</v>
      </c>
      <c r="P43" s="13">
        <v>73.0</v>
      </c>
      <c r="Q43" s="13">
        <v>17.0</v>
      </c>
      <c r="R43" s="13">
        <v>6.0</v>
      </c>
      <c r="S43" s="13">
        <v>14.0</v>
      </c>
      <c r="T43" s="13">
        <v>4.0</v>
      </c>
      <c r="U43" s="13">
        <v>2.0</v>
      </c>
      <c r="V43" s="13">
        <v>7.0</v>
      </c>
      <c r="W43" s="13">
        <v>5.0</v>
      </c>
      <c r="X43" s="13">
        <v>0.0</v>
      </c>
      <c r="Y43" s="13">
        <v>6.0</v>
      </c>
      <c r="Z43" s="66">
        <v>0.0</v>
      </c>
      <c r="AA43" s="66">
        <v>0.0</v>
      </c>
      <c r="AB43" s="13">
        <v>4.0</v>
      </c>
      <c r="AC43" s="13">
        <v>15.0</v>
      </c>
      <c r="AD43" s="13">
        <v>8.0</v>
      </c>
      <c r="AE43" s="13">
        <v>21.0</v>
      </c>
      <c r="AF43" s="13">
        <v>0.0</v>
      </c>
      <c r="AG43" s="13">
        <v>24.0</v>
      </c>
      <c r="AH43" s="80">
        <f t="shared" ref="AH43:AI43" si="49">PRODUCT(Z43,5)</f>
        <v>0</v>
      </c>
      <c r="AI43" s="80">
        <f t="shared" si="49"/>
        <v>0</v>
      </c>
      <c r="AJ43" s="13">
        <v>29.0</v>
      </c>
      <c r="AK43" s="13">
        <v>43.0</v>
      </c>
      <c r="AL43" s="13">
        <v>151.0</v>
      </c>
    </row>
    <row r="44">
      <c r="A44" s="75" t="s">
        <v>111</v>
      </c>
      <c r="B44" s="75">
        <v>2022.0</v>
      </c>
      <c r="C44" s="75">
        <v>10.0</v>
      </c>
      <c r="D44" s="75">
        <v>1.0</v>
      </c>
      <c r="E44" s="75">
        <v>10.0</v>
      </c>
      <c r="F44" s="75"/>
      <c r="G44" s="87">
        <f>PRODUCT(D44,(1/(D44+E44)))</f>
        <v>0.09090909091</v>
      </c>
      <c r="H44" s="75">
        <v>0.0</v>
      </c>
      <c r="I44" s="75"/>
      <c r="J44" s="75">
        <v>0.0</v>
      </c>
      <c r="K44" s="75"/>
      <c r="L44" s="75">
        <v>0.0</v>
      </c>
      <c r="M44" s="75"/>
      <c r="N44" s="75">
        <v>1.0</v>
      </c>
      <c r="O44" s="75"/>
      <c r="P44" s="75">
        <v>2.0</v>
      </c>
      <c r="Q44" s="75"/>
      <c r="R44" s="75">
        <v>0.0</v>
      </c>
      <c r="S44" s="75"/>
      <c r="T44" s="75">
        <v>0.0</v>
      </c>
      <c r="U44" s="75"/>
      <c r="V44" s="75">
        <v>0.0</v>
      </c>
      <c r="W44" s="75"/>
      <c r="X44" s="75"/>
      <c r="Y44" s="75"/>
      <c r="Z44" s="76">
        <v>0.0</v>
      </c>
      <c r="AA44" s="76">
        <v>0.0</v>
      </c>
      <c r="AB44" s="75"/>
      <c r="AC44" s="75"/>
      <c r="AD44" s="75"/>
      <c r="AE44" s="75"/>
      <c r="AF44" s="75"/>
      <c r="AG44" s="75"/>
      <c r="AH44" s="77">
        <f t="shared" ref="AH44:AI44" si="50">PRODUCT(Z44,5)</f>
        <v>0</v>
      </c>
      <c r="AI44" s="77">
        <f t="shared" si="50"/>
        <v>0</v>
      </c>
      <c r="AJ44" s="75">
        <v>0.0</v>
      </c>
      <c r="AK44" s="75"/>
      <c r="AL44" s="75">
        <v>6.0</v>
      </c>
    </row>
    <row r="45">
      <c r="A45" s="16" t="s">
        <v>112</v>
      </c>
      <c r="B45" s="13">
        <v>2026.0</v>
      </c>
      <c r="C45" s="16">
        <v>9.0</v>
      </c>
      <c r="D45" s="16">
        <v>26.0</v>
      </c>
      <c r="E45" s="16">
        <v>14.0</v>
      </c>
      <c r="F45" s="96">
        <v>40.0</v>
      </c>
      <c r="G45" s="96">
        <v>0.65</v>
      </c>
      <c r="H45" s="16">
        <v>16.0</v>
      </c>
      <c r="I45" s="16">
        <v>10.0</v>
      </c>
      <c r="J45" s="16">
        <v>0.0</v>
      </c>
      <c r="K45" s="16">
        <v>0.0</v>
      </c>
      <c r="L45" s="16">
        <v>0.0</v>
      </c>
      <c r="M45" s="16">
        <v>2.0</v>
      </c>
      <c r="N45" s="16">
        <v>27.0</v>
      </c>
      <c r="O45" s="16">
        <v>25.0</v>
      </c>
      <c r="P45" s="16">
        <v>10.0</v>
      </c>
      <c r="Q45" s="16">
        <v>10.0</v>
      </c>
      <c r="R45" s="16">
        <v>8.0</v>
      </c>
      <c r="S45" s="16">
        <v>8.0</v>
      </c>
      <c r="T45" s="16">
        <v>4.0</v>
      </c>
      <c r="U45" s="16">
        <v>2.0</v>
      </c>
      <c r="V45" s="16">
        <v>2.0</v>
      </c>
      <c r="W45" s="16">
        <v>1.0</v>
      </c>
      <c r="X45" s="16">
        <v>4.0</v>
      </c>
      <c r="Y45" s="16">
        <v>2.0</v>
      </c>
      <c r="Z45" s="66"/>
      <c r="AA45" s="66"/>
      <c r="AB45" s="13">
        <v>0.0</v>
      </c>
      <c r="AC45" s="13">
        <v>1.0</v>
      </c>
      <c r="AD45" s="16">
        <v>8.0</v>
      </c>
      <c r="AE45" s="16">
        <v>4.0</v>
      </c>
      <c r="AF45" s="16">
        <v>6.0</v>
      </c>
      <c r="AG45" s="16">
        <v>3.0</v>
      </c>
      <c r="AH45" s="71">
        <v>16.0</v>
      </c>
      <c r="AI45" s="71">
        <v>8.0</v>
      </c>
      <c r="AJ45" s="81">
        <v>0.0</v>
      </c>
      <c r="AK45" s="81">
        <v>5.0</v>
      </c>
      <c r="AL45" s="13">
        <v>102.0</v>
      </c>
    </row>
    <row r="46">
      <c r="A46" s="25" t="s">
        <v>113</v>
      </c>
      <c r="B46" s="25">
        <v>2023.0</v>
      </c>
      <c r="C46" s="25">
        <v>9.0</v>
      </c>
      <c r="D46" s="25">
        <v>6.0</v>
      </c>
      <c r="E46" s="25">
        <v>9.0</v>
      </c>
      <c r="F46" s="25">
        <f>SUM(D46:E46)</f>
        <v>15</v>
      </c>
      <c r="G46" s="82">
        <f>PRODUCT(D46,(1/F46))</f>
        <v>0.4</v>
      </c>
      <c r="H46" s="25">
        <v>5.0</v>
      </c>
      <c r="I46" s="25">
        <v>8.0</v>
      </c>
      <c r="J46" s="25">
        <v>0.0</v>
      </c>
      <c r="K46" s="25">
        <v>0.0</v>
      </c>
      <c r="L46" s="25">
        <v>0.0</v>
      </c>
      <c r="M46" s="25">
        <v>0.0</v>
      </c>
      <c r="N46" s="25">
        <v>9.0</v>
      </c>
      <c r="O46" s="25">
        <v>19.0</v>
      </c>
      <c r="P46" s="25">
        <v>13.0</v>
      </c>
      <c r="Q46" s="25">
        <v>2.0</v>
      </c>
      <c r="R46" s="25">
        <v>2.0</v>
      </c>
      <c r="S46" s="25">
        <v>2.0</v>
      </c>
      <c r="T46" s="25">
        <v>0.0</v>
      </c>
      <c r="U46" s="25">
        <v>3.0</v>
      </c>
      <c r="V46" s="25">
        <v>0.0</v>
      </c>
      <c r="W46" s="25">
        <v>2.0</v>
      </c>
      <c r="X46" s="25"/>
      <c r="Y46" s="25"/>
      <c r="Z46" s="76">
        <v>0.0</v>
      </c>
      <c r="AA46" s="76">
        <v>0.0</v>
      </c>
      <c r="AB46" s="25">
        <f>PRODUCT(W46,3)</f>
        <v>6</v>
      </c>
      <c r="AC46" s="25">
        <f>PRODUCT(U46,2)</f>
        <v>6</v>
      </c>
      <c r="AD46" s="25">
        <f>PRODUCT(V46,3)</f>
        <v>0</v>
      </c>
      <c r="AE46" s="25">
        <f>PRODUCT(T46,2)</f>
        <v>0</v>
      </c>
      <c r="AF46" s="25"/>
      <c r="AG46" s="25"/>
      <c r="AH46" s="77">
        <f t="shared" ref="AH46:AI46" si="51">PRODUCT(Z46,5)</f>
        <v>0</v>
      </c>
      <c r="AI46" s="77">
        <f t="shared" si="51"/>
        <v>0</v>
      </c>
      <c r="AJ46" s="77">
        <f>SUM(AD46,AE46)</f>
        <v>0</v>
      </c>
      <c r="AK46" s="77">
        <f>SUM(AB46,AC46)</f>
        <v>12</v>
      </c>
      <c r="AL46" s="25">
        <v>23.0</v>
      </c>
    </row>
    <row r="47">
      <c r="A47" s="71" t="s">
        <v>114</v>
      </c>
      <c r="B47" s="81">
        <v>2026.0</v>
      </c>
      <c r="C47" s="71">
        <v>11.0</v>
      </c>
      <c r="D47" s="71">
        <v>5.0</v>
      </c>
      <c r="E47" s="71">
        <v>19.0</v>
      </c>
      <c r="F47" s="93">
        <v>24.0</v>
      </c>
      <c r="G47" s="93">
        <v>0.20833333333333331</v>
      </c>
      <c r="H47" s="71">
        <v>1.0</v>
      </c>
      <c r="I47" s="71">
        <v>16.0</v>
      </c>
      <c r="J47" s="71">
        <v>0.0</v>
      </c>
      <c r="K47" s="71">
        <v>2.0</v>
      </c>
      <c r="L47" s="71">
        <v>0.0</v>
      </c>
      <c r="M47" s="71">
        <v>1.0</v>
      </c>
      <c r="N47" s="71">
        <v>0.0</v>
      </c>
      <c r="O47" s="71">
        <v>29.0</v>
      </c>
      <c r="P47" s="71">
        <v>3.0</v>
      </c>
      <c r="Q47" s="71">
        <v>8.0</v>
      </c>
      <c r="R47" s="71">
        <v>3.0</v>
      </c>
      <c r="S47" s="71">
        <v>4.0</v>
      </c>
      <c r="T47" s="71">
        <v>0.0</v>
      </c>
      <c r="U47" s="71">
        <v>3.0</v>
      </c>
      <c r="V47" s="71">
        <v>0.0</v>
      </c>
      <c r="W47" s="71">
        <v>2.0</v>
      </c>
      <c r="X47" s="71">
        <v>0.0</v>
      </c>
      <c r="Y47" s="71">
        <v>6.0</v>
      </c>
      <c r="Z47" s="66"/>
      <c r="AA47" s="66"/>
      <c r="AB47" s="81">
        <v>0.0</v>
      </c>
      <c r="AC47" s="81">
        <v>0.0</v>
      </c>
      <c r="AD47" s="71">
        <v>0.0</v>
      </c>
      <c r="AE47" s="71">
        <v>6.0</v>
      </c>
      <c r="AF47" s="71">
        <v>0.0</v>
      </c>
      <c r="AG47" s="71">
        <v>6.0</v>
      </c>
      <c r="AH47" s="71">
        <v>0.0</v>
      </c>
      <c r="AI47" s="71">
        <v>24.0</v>
      </c>
      <c r="AJ47" s="81">
        <v>0.0</v>
      </c>
      <c r="AK47" s="81">
        <v>0.0</v>
      </c>
      <c r="AL47" s="81">
        <v>6.0</v>
      </c>
    </row>
    <row r="48">
      <c r="A48" s="75" t="s">
        <v>23</v>
      </c>
      <c r="B48" s="75" t="s">
        <v>115</v>
      </c>
      <c r="C48" s="75" t="s">
        <v>116</v>
      </c>
      <c r="D48" s="75">
        <v>17.0</v>
      </c>
      <c r="E48" s="75">
        <v>12.0</v>
      </c>
      <c r="F48" s="75">
        <v>0.0</v>
      </c>
      <c r="G48" s="87">
        <v>0.5862068965517241</v>
      </c>
      <c r="H48" s="75">
        <v>11.0</v>
      </c>
      <c r="I48" s="75">
        <v>0.0</v>
      </c>
      <c r="J48" s="75">
        <v>0.0</v>
      </c>
      <c r="K48" s="75">
        <v>0.0</v>
      </c>
      <c r="L48" s="75">
        <v>1.0</v>
      </c>
      <c r="M48" s="75">
        <v>0.0</v>
      </c>
      <c r="N48" s="75">
        <v>29.0</v>
      </c>
      <c r="O48" s="75">
        <v>0.0</v>
      </c>
      <c r="P48" s="75">
        <v>16.0</v>
      </c>
      <c r="Q48" s="75">
        <v>0.0</v>
      </c>
      <c r="R48" s="75">
        <v>10.0</v>
      </c>
      <c r="S48" s="75">
        <v>0.0</v>
      </c>
      <c r="T48" s="75">
        <v>3.0</v>
      </c>
      <c r="U48" s="75">
        <v>0.0</v>
      </c>
      <c r="V48" s="75">
        <v>1.0</v>
      </c>
      <c r="W48" s="75">
        <v>0.0</v>
      </c>
      <c r="X48" s="75"/>
      <c r="Y48" s="75"/>
      <c r="Z48" s="76">
        <v>0.0</v>
      </c>
      <c r="AA48" s="76">
        <v>0.0</v>
      </c>
      <c r="AB48" s="75">
        <v>0.0</v>
      </c>
      <c r="AC48" s="75">
        <v>0.0</v>
      </c>
      <c r="AD48" s="75">
        <v>0.0</v>
      </c>
      <c r="AE48" s="75">
        <v>0.0</v>
      </c>
      <c r="AF48" s="75"/>
      <c r="AG48" s="75"/>
      <c r="AH48" s="77">
        <f t="shared" ref="AH48:AI48" si="52">PRODUCT(Z48,5)</f>
        <v>0</v>
      </c>
      <c r="AI48" s="77">
        <f t="shared" si="52"/>
        <v>0</v>
      </c>
      <c r="AJ48" s="75">
        <v>9.0</v>
      </c>
      <c r="AK48" s="75">
        <v>0.0</v>
      </c>
      <c r="AL48" s="75">
        <v>85.0</v>
      </c>
    </row>
    <row r="49">
      <c r="A49" s="81" t="s">
        <v>117</v>
      </c>
      <c r="B49" s="81">
        <v>2019.0</v>
      </c>
      <c r="C49" s="81"/>
      <c r="D49" s="81">
        <v>0.0</v>
      </c>
      <c r="E49" s="81">
        <v>1.0</v>
      </c>
      <c r="F49" s="81"/>
      <c r="G49" s="89">
        <f>PRODUCT(D49,(1/(D49+E49)))</f>
        <v>0</v>
      </c>
      <c r="H49" s="81">
        <v>0.0</v>
      </c>
      <c r="I49" s="81"/>
      <c r="J49" s="81">
        <v>0.0</v>
      </c>
      <c r="K49" s="81"/>
      <c r="L49" s="81">
        <v>0.0</v>
      </c>
      <c r="M49" s="81"/>
      <c r="N49" s="81">
        <v>0.0</v>
      </c>
      <c r="O49" s="81"/>
      <c r="P49" s="81">
        <v>1.0</v>
      </c>
      <c r="Q49" s="81"/>
      <c r="R49" s="81">
        <v>1.0</v>
      </c>
      <c r="S49" s="81"/>
      <c r="T49" s="81">
        <v>0.0</v>
      </c>
      <c r="U49" s="81"/>
      <c r="V49" s="81">
        <v>0.0</v>
      </c>
      <c r="W49" s="81"/>
      <c r="X49" s="81"/>
      <c r="Y49" s="81"/>
      <c r="Z49" s="66">
        <v>0.0</v>
      </c>
      <c r="AA49" s="66">
        <v>0.0</v>
      </c>
      <c r="AB49" s="81"/>
      <c r="AC49" s="81"/>
      <c r="AD49" s="81"/>
      <c r="AE49" s="81"/>
      <c r="AF49" s="81"/>
      <c r="AG49" s="81"/>
      <c r="AH49" s="80">
        <f t="shared" ref="AH49:AI49" si="53">PRODUCT(Z49,5)</f>
        <v>0</v>
      </c>
      <c r="AI49" s="80">
        <f t="shared" si="53"/>
        <v>0</v>
      </c>
      <c r="AJ49" s="81">
        <v>0.0</v>
      </c>
      <c r="AK49" s="81"/>
      <c r="AL49" s="81">
        <v>0.0</v>
      </c>
    </row>
    <row r="50">
      <c r="A50" s="25" t="s">
        <v>118</v>
      </c>
      <c r="B50" s="75">
        <v>2024.0</v>
      </c>
      <c r="C50" s="25">
        <v>9.0</v>
      </c>
      <c r="D50" s="25">
        <v>10.0</v>
      </c>
      <c r="E50" s="25">
        <v>9.0</v>
      </c>
      <c r="F50" s="25">
        <f>SUM(D50:E50)</f>
        <v>19</v>
      </c>
      <c r="G50" s="43">
        <f>PRODUCT(D50, (1/F50))</f>
        <v>0.5263157895</v>
      </c>
      <c r="H50" s="25">
        <v>6.0</v>
      </c>
      <c r="I50" s="25">
        <v>8.0</v>
      </c>
      <c r="J50" s="25">
        <v>0.0</v>
      </c>
      <c r="K50" s="25">
        <v>0.0</v>
      </c>
      <c r="L50" s="25">
        <v>0.0</v>
      </c>
      <c r="M50" s="25">
        <v>0.0</v>
      </c>
      <c r="N50" s="25">
        <v>13.0</v>
      </c>
      <c r="O50" s="25">
        <v>7.0</v>
      </c>
      <c r="P50" s="25">
        <v>1.0</v>
      </c>
      <c r="Q50" s="25">
        <v>2.0</v>
      </c>
      <c r="R50" s="25">
        <v>0.0</v>
      </c>
      <c r="S50" s="25">
        <v>4.0</v>
      </c>
      <c r="T50" s="25">
        <v>0.0</v>
      </c>
      <c r="U50" s="25">
        <v>0.0</v>
      </c>
      <c r="V50" s="25">
        <v>6.0</v>
      </c>
      <c r="W50" s="25">
        <v>0.0</v>
      </c>
      <c r="X50" s="25"/>
      <c r="Y50" s="25"/>
      <c r="Z50" s="76">
        <v>0.0</v>
      </c>
      <c r="AA50" s="76">
        <v>0.0</v>
      </c>
      <c r="AB50" s="25">
        <f t="shared" ref="AB50:AC50" si="54">PRODUCT(T50,2)</f>
        <v>0</v>
      </c>
      <c r="AC50" s="25">
        <f t="shared" si="54"/>
        <v>0</v>
      </c>
      <c r="AD50" s="25">
        <f t="shared" ref="AD50:AE50" si="55">PRODUCT(V50,3)</f>
        <v>18</v>
      </c>
      <c r="AE50" s="25">
        <f t="shared" si="55"/>
        <v>0</v>
      </c>
      <c r="AF50" s="25"/>
      <c r="AG50" s="25"/>
      <c r="AH50" s="77">
        <f t="shared" ref="AH50:AI50" si="56">PRODUCT(Z50,5)</f>
        <v>0</v>
      </c>
      <c r="AI50" s="77">
        <f t="shared" si="56"/>
        <v>0</v>
      </c>
      <c r="AJ50" s="25">
        <f t="shared" ref="AJ50:AK50" si="57">SUM(AD50:AH50)</f>
        <v>18</v>
      </c>
      <c r="AK50" s="25">
        <f t="shared" si="57"/>
        <v>0</v>
      </c>
      <c r="AL50" s="25">
        <v>54.0</v>
      </c>
    </row>
    <row r="51">
      <c r="A51" s="13" t="s">
        <v>24</v>
      </c>
      <c r="B51" s="81" t="s">
        <v>47</v>
      </c>
      <c r="C51" s="83">
        <v>46276.0</v>
      </c>
      <c r="D51" s="13">
        <v>53.0</v>
      </c>
      <c r="E51" s="13">
        <v>29.0</v>
      </c>
      <c r="F51" s="13">
        <v>82.0</v>
      </c>
      <c r="G51" s="96">
        <v>0.6463414634146342</v>
      </c>
      <c r="H51" s="13">
        <v>39.0</v>
      </c>
      <c r="I51" s="13">
        <v>23.0</v>
      </c>
      <c r="J51" s="13">
        <v>0.0</v>
      </c>
      <c r="K51" s="13">
        <v>4.0</v>
      </c>
      <c r="L51" s="13">
        <v>0.0</v>
      </c>
      <c r="M51" s="13">
        <v>0.0</v>
      </c>
      <c r="N51" s="13">
        <v>70.0</v>
      </c>
      <c r="O51" s="13">
        <v>64.0</v>
      </c>
      <c r="P51" s="13">
        <v>32.0</v>
      </c>
      <c r="Q51" s="13">
        <v>31.0</v>
      </c>
      <c r="R51" s="13">
        <v>17.0</v>
      </c>
      <c r="S51" s="13">
        <v>20.0</v>
      </c>
      <c r="T51" s="13">
        <v>5.0</v>
      </c>
      <c r="U51" s="13">
        <v>8.0</v>
      </c>
      <c r="V51" s="13">
        <v>8.0</v>
      </c>
      <c r="W51" s="13">
        <v>8.0</v>
      </c>
      <c r="X51" s="13">
        <v>11.0</v>
      </c>
      <c r="Y51" s="13">
        <v>5.0</v>
      </c>
      <c r="Z51" s="66">
        <v>0.0</v>
      </c>
      <c r="AA51" s="66">
        <v>0.0</v>
      </c>
      <c r="AB51" s="13">
        <v>6.0</v>
      </c>
      <c r="AC51" s="13">
        <v>16.0</v>
      </c>
      <c r="AD51" s="13">
        <v>22.0</v>
      </c>
      <c r="AE51" s="13">
        <v>24.0</v>
      </c>
      <c r="AF51" s="13">
        <v>26.0</v>
      </c>
      <c r="AG51" s="13">
        <v>20.0</v>
      </c>
      <c r="AH51" s="81">
        <v>24.0</v>
      </c>
      <c r="AI51" s="81">
        <v>0.0</v>
      </c>
      <c r="AJ51" s="13">
        <v>44.0</v>
      </c>
      <c r="AK51" s="13">
        <v>60.0</v>
      </c>
      <c r="AL51" s="13">
        <v>226.0</v>
      </c>
    </row>
    <row r="52">
      <c r="A52" s="25" t="s">
        <v>4</v>
      </c>
      <c r="B52" s="75" t="s">
        <v>47</v>
      </c>
      <c r="C52" s="86">
        <v>46276.0</v>
      </c>
      <c r="D52" s="31">
        <v>107.0</v>
      </c>
      <c r="E52" s="31">
        <v>27.0</v>
      </c>
      <c r="F52" s="31">
        <v>134.0</v>
      </c>
      <c r="G52" s="91">
        <v>2.4047619047619047</v>
      </c>
      <c r="H52" s="31">
        <v>82.0</v>
      </c>
      <c r="I52" s="31">
        <v>17.0</v>
      </c>
      <c r="J52" s="31">
        <v>2.0</v>
      </c>
      <c r="K52" s="31">
        <v>2.0</v>
      </c>
      <c r="L52" s="31">
        <v>0.0</v>
      </c>
      <c r="M52" s="31">
        <v>2.0</v>
      </c>
      <c r="N52" s="31">
        <v>128.0</v>
      </c>
      <c r="O52" s="31">
        <v>44.0</v>
      </c>
      <c r="P52" s="31">
        <v>11.0</v>
      </c>
      <c r="Q52" s="31">
        <v>49.0</v>
      </c>
      <c r="R52" s="31">
        <v>2.0</v>
      </c>
      <c r="S52" s="31">
        <v>5.0</v>
      </c>
      <c r="T52" s="31">
        <v>6.0</v>
      </c>
      <c r="U52" s="31">
        <v>3.0</v>
      </c>
      <c r="V52" s="31">
        <v>4.0</v>
      </c>
      <c r="W52" s="31">
        <v>7.0</v>
      </c>
      <c r="X52" s="31">
        <v>15.0</v>
      </c>
      <c r="Y52" s="31">
        <v>16.0</v>
      </c>
      <c r="Z52" s="97">
        <v>0.0</v>
      </c>
      <c r="AA52" s="97">
        <v>0.0</v>
      </c>
      <c r="AB52" s="31">
        <v>10.0</v>
      </c>
      <c r="AC52" s="31">
        <v>4.0</v>
      </c>
      <c r="AD52" s="31">
        <v>11.0</v>
      </c>
      <c r="AE52" s="31">
        <v>17.0</v>
      </c>
      <c r="AF52" s="31">
        <v>43.0</v>
      </c>
      <c r="AG52" s="31">
        <v>38.0</v>
      </c>
      <c r="AH52" s="98">
        <v>20.0</v>
      </c>
      <c r="AI52" s="98">
        <v>32.0</v>
      </c>
      <c r="AJ52" s="31">
        <v>59.0</v>
      </c>
      <c r="AK52" s="31">
        <v>51.0</v>
      </c>
      <c r="AL52" s="31">
        <v>541.5</v>
      </c>
    </row>
    <row r="53">
      <c r="A53" s="13" t="s">
        <v>9</v>
      </c>
      <c r="B53" s="81" t="s">
        <v>42</v>
      </c>
      <c r="C53" s="13">
        <v>11.0</v>
      </c>
      <c r="D53" s="13">
        <v>33.0</v>
      </c>
      <c r="E53" s="13">
        <v>14.0</v>
      </c>
      <c r="F53" s="13">
        <v>47.0</v>
      </c>
      <c r="G53" s="90">
        <v>0.7021276595744681</v>
      </c>
      <c r="H53" s="13">
        <v>27.0</v>
      </c>
      <c r="I53" s="13">
        <v>13.0</v>
      </c>
      <c r="J53" s="13">
        <v>0.0</v>
      </c>
      <c r="K53" s="13">
        <v>0.0</v>
      </c>
      <c r="L53" s="13">
        <v>0.0</v>
      </c>
      <c r="M53" s="13">
        <v>0.0</v>
      </c>
      <c r="N53" s="13">
        <v>33.0</v>
      </c>
      <c r="O53" s="13">
        <v>25.0</v>
      </c>
      <c r="P53" s="13">
        <v>10.0</v>
      </c>
      <c r="Q53" s="13">
        <v>4.0</v>
      </c>
      <c r="R53" s="13">
        <v>4.0</v>
      </c>
      <c r="S53" s="13">
        <v>8.0</v>
      </c>
      <c r="T53" s="13">
        <v>0.0</v>
      </c>
      <c r="U53" s="13">
        <v>6.0</v>
      </c>
      <c r="V53" s="13">
        <v>4.0</v>
      </c>
      <c r="W53" s="13">
        <v>3.0</v>
      </c>
      <c r="X53" s="13">
        <v>0.0</v>
      </c>
      <c r="Y53" s="13">
        <v>0.0</v>
      </c>
      <c r="Z53" s="66">
        <v>0.0</v>
      </c>
      <c r="AA53" s="66">
        <v>0.0</v>
      </c>
      <c r="AB53" s="13">
        <v>12.0</v>
      </c>
      <c r="AC53" s="13">
        <v>9.0</v>
      </c>
      <c r="AD53" s="13">
        <v>0.0</v>
      </c>
      <c r="AE53" s="13">
        <v>12.0</v>
      </c>
      <c r="AF53" s="13">
        <v>0.0</v>
      </c>
      <c r="AG53" s="13">
        <v>0.0</v>
      </c>
      <c r="AH53" s="80">
        <f t="shared" ref="AH53:AI53" si="58">PRODUCT(Z53,5)</f>
        <v>0</v>
      </c>
      <c r="AI53" s="80">
        <f t="shared" si="58"/>
        <v>0</v>
      </c>
      <c r="AJ53" s="13">
        <v>12.0</v>
      </c>
      <c r="AK53" s="13">
        <v>21.0</v>
      </c>
      <c r="AL53" s="13">
        <v>176.0</v>
      </c>
    </row>
    <row r="54">
      <c r="A54" s="31" t="s">
        <v>119</v>
      </c>
      <c r="B54" s="75">
        <v>2026.0</v>
      </c>
      <c r="C54" s="31">
        <v>11.0</v>
      </c>
      <c r="D54" s="31">
        <v>2.0</v>
      </c>
      <c r="E54" s="31">
        <v>6.0</v>
      </c>
      <c r="F54" s="91">
        <v>8.0</v>
      </c>
      <c r="G54" s="91">
        <v>0.25</v>
      </c>
      <c r="H54" s="31">
        <v>2.0</v>
      </c>
      <c r="I54" s="31">
        <v>6.0</v>
      </c>
      <c r="J54" s="31">
        <v>0.0</v>
      </c>
      <c r="K54" s="31">
        <v>0.0</v>
      </c>
      <c r="L54" s="31">
        <v>0.0</v>
      </c>
      <c r="M54" s="31">
        <v>0.0</v>
      </c>
      <c r="N54" s="31">
        <v>6.0</v>
      </c>
      <c r="O54" s="31">
        <v>6.0</v>
      </c>
      <c r="P54" s="31">
        <v>3.0</v>
      </c>
      <c r="Q54" s="31">
        <v>2.0</v>
      </c>
      <c r="R54" s="31">
        <v>1.0</v>
      </c>
      <c r="S54" s="31">
        <v>3.0</v>
      </c>
      <c r="T54" s="31">
        <v>0.0</v>
      </c>
      <c r="U54" s="31">
        <v>1.0</v>
      </c>
      <c r="V54" s="31">
        <v>0.0</v>
      </c>
      <c r="W54" s="31">
        <v>0.0</v>
      </c>
      <c r="X54" s="31">
        <v>1.0</v>
      </c>
      <c r="Y54" s="31">
        <v>0.0</v>
      </c>
      <c r="Z54" s="76"/>
      <c r="AA54" s="76"/>
      <c r="AB54" s="25">
        <v>0.0</v>
      </c>
      <c r="AC54" s="25">
        <v>0.0</v>
      </c>
      <c r="AD54" s="31">
        <v>0.0</v>
      </c>
      <c r="AE54" s="31">
        <v>2.0</v>
      </c>
      <c r="AF54" s="31">
        <v>0.0</v>
      </c>
      <c r="AG54" s="31">
        <v>0.0</v>
      </c>
      <c r="AH54" s="98">
        <v>4.0</v>
      </c>
      <c r="AI54" s="98">
        <v>0.0</v>
      </c>
      <c r="AJ54" s="25">
        <v>0.0</v>
      </c>
      <c r="AK54" s="25">
        <v>0.0</v>
      </c>
      <c r="AL54" s="25">
        <v>12.0</v>
      </c>
    </row>
    <row r="55">
      <c r="A55" s="81" t="s">
        <v>120</v>
      </c>
      <c r="B55" s="81">
        <v>2022.0</v>
      </c>
      <c r="C55" s="81">
        <v>10.0</v>
      </c>
      <c r="D55" s="81">
        <v>2.0</v>
      </c>
      <c r="E55" s="81">
        <v>4.0</v>
      </c>
      <c r="F55" s="81"/>
      <c r="G55" s="89">
        <f t="shared" ref="G55:G57" si="60">PRODUCT(D55,(1/(D55+E55)))</f>
        <v>0.3333333333</v>
      </c>
      <c r="H55" s="81">
        <v>2.0</v>
      </c>
      <c r="I55" s="81"/>
      <c r="J55" s="81">
        <v>0.0</v>
      </c>
      <c r="K55" s="81"/>
      <c r="L55" s="81">
        <v>0.0</v>
      </c>
      <c r="M55" s="81"/>
      <c r="N55" s="81">
        <v>4.0</v>
      </c>
      <c r="O55" s="81"/>
      <c r="P55" s="81">
        <v>2.0</v>
      </c>
      <c r="Q55" s="81"/>
      <c r="R55" s="81">
        <v>1.0</v>
      </c>
      <c r="S55" s="81"/>
      <c r="T55" s="81">
        <v>1.0</v>
      </c>
      <c r="U55" s="81"/>
      <c r="V55" s="81">
        <v>0.0</v>
      </c>
      <c r="W55" s="81"/>
      <c r="X55" s="81"/>
      <c r="Y55" s="81"/>
      <c r="Z55" s="66">
        <v>0.0</v>
      </c>
      <c r="AA55" s="66">
        <v>0.0</v>
      </c>
      <c r="AB55" s="81"/>
      <c r="AC55" s="81"/>
      <c r="AD55" s="81"/>
      <c r="AE55" s="81"/>
      <c r="AF55" s="81"/>
      <c r="AG55" s="81"/>
      <c r="AH55" s="80">
        <f t="shared" ref="AH55:AI55" si="59">PRODUCT(Z55,5)</f>
        <v>0</v>
      </c>
      <c r="AI55" s="80">
        <f t="shared" si="59"/>
        <v>0</v>
      </c>
      <c r="AJ55" s="81">
        <v>2.0</v>
      </c>
      <c r="AK55" s="81"/>
      <c r="AL55" s="81">
        <v>12.0</v>
      </c>
    </row>
    <row r="56">
      <c r="A56" s="75" t="s">
        <v>121</v>
      </c>
      <c r="B56" s="75">
        <v>2020.0</v>
      </c>
      <c r="C56" s="75"/>
      <c r="D56" s="75">
        <v>1.0</v>
      </c>
      <c r="E56" s="75">
        <v>4.0</v>
      </c>
      <c r="F56" s="75"/>
      <c r="G56" s="87">
        <f t="shared" si="60"/>
        <v>0.2</v>
      </c>
      <c r="H56" s="75">
        <v>1.0</v>
      </c>
      <c r="I56" s="75"/>
      <c r="J56" s="75">
        <v>0.0</v>
      </c>
      <c r="K56" s="75"/>
      <c r="L56" s="75">
        <v>0.0</v>
      </c>
      <c r="M56" s="75"/>
      <c r="N56" s="75">
        <v>2.0</v>
      </c>
      <c r="O56" s="75"/>
      <c r="P56" s="75">
        <v>2.0</v>
      </c>
      <c r="Q56" s="75"/>
      <c r="R56" s="75">
        <v>0.0</v>
      </c>
      <c r="S56" s="75"/>
      <c r="T56" s="75">
        <v>1.0</v>
      </c>
      <c r="U56" s="75"/>
      <c r="V56" s="75">
        <v>2.0</v>
      </c>
      <c r="W56" s="75"/>
      <c r="X56" s="75"/>
      <c r="Y56" s="75"/>
      <c r="Z56" s="76">
        <v>0.0</v>
      </c>
      <c r="AA56" s="76">
        <v>0.0</v>
      </c>
      <c r="AB56" s="75"/>
      <c r="AC56" s="75"/>
      <c r="AD56" s="75"/>
      <c r="AE56" s="75"/>
      <c r="AF56" s="75"/>
      <c r="AG56" s="75"/>
      <c r="AH56" s="77">
        <f t="shared" ref="AH56:AI56" si="61">PRODUCT(Z56,5)</f>
        <v>0</v>
      </c>
      <c r="AI56" s="77">
        <f t="shared" si="61"/>
        <v>0</v>
      </c>
      <c r="AJ56" s="75">
        <v>8.0</v>
      </c>
      <c r="AK56" s="75"/>
      <c r="AL56" s="75">
        <v>6.0</v>
      </c>
    </row>
    <row r="57">
      <c r="A57" s="81" t="s">
        <v>27</v>
      </c>
      <c r="B57" s="81">
        <v>2019.0</v>
      </c>
      <c r="C57" s="81">
        <v>12.0</v>
      </c>
      <c r="D57" s="81">
        <v>0.0</v>
      </c>
      <c r="E57" s="81">
        <v>4.0</v>
      </c>
      <c r="F57" s="81"/>
      <c r="G57" s="89">
        <f t="shared" si="60"/>
        <v>0</v>
      </c>
      <c r="H57" s="81">
        <v>0.0</v>
      </c>
      <c r="I57" s="81"/>
      <c r="J57" s="81">
        <v>0.0</v>
      </c>
      <c r="K57" s="81"/>
      <c r="L57" s="81">
        <v>0.0</v>
      </c>
      <c r="M57" s="81"/>
      <c r="N57" s="81">
        <v>0.0</v>
      </c>
      <c r="O57" s="81"/>
      <c r="P57" s="81">
        <v>1.0</v>
      </c>
      <c r="Q57" s="81"/>
      <c r="R57" s="81">
        <v>0.0</v>
      </c>
      <c r="S57" s="81"/>
      <c r="T57" s="81">
        <v>0.0</v>
      </c>
      <c r="U57" s="81"/>
      <c r="V57" s="81">
        <v>0.0</v>
      </c>
      <c r="W57" s="81"/>
      <c r="X57" s="81"/>
      <c r="Y57" s="81"/>
      <c r="Z57" s="66">
        <v>0.0</v>
      </c>
      <c r="AA57" s="66">
        <v>0.0</v>
      </c>
      <c r="AB57" s="81"/>
      <c r="AC57" s="81"/>
      <c r="AD57" s="81"/>
      <c r="AE57" s="81"/>
      <c r="AF57" s="81"/>
      <c r="AG57" s="81"/>
      <c r="AH57" s="80">
        <f t="shared" ref="AH57:AI57" si="62">PRODUCT(Z57,5)</f>
        <v>0</v>
      </c>
      <c r="AI57" s="80">
        <f t="shared" si="62"/>
        <v>0</v>
      </c>
      <c r="AJ57" s="81">
        <v>0.0</v>
      </c>
      <c r="AK57" s="81"/>
      <c r="AL57" s="81">
        <v>0.0</v>
      </c>
    </row>
    <row r="58">
      <c r="A58" s="31" t="s">
        <v>122</v>
      </c>
      <c r="B58" s="75">
        <v>2026.0</v>
      </c>
      <c r="C58" s="31">
        <v>9.0</v>
      </c>
      <c r="D58" s="31">
        <v>12.0</v>
      </c>
      <c r="E58" s="31">
        <v>17.0</v>
      </c>
      <c r="F58" s="91">
        <v>29.0</v>
      </c>
      <c r="G58" s="91">
        <v>0.41379310344827586</v>
      </c>
      <c r="H58" s="31">
        <v>8.0</v>
      </c>
      <c r="I58" s="31">
        <v>13.0</v>
      </c>
      <c r="J58" s="31">
        <v>0.0</v>
      </c>
      <c r="K58" s="31">
        <v>3.0</v>
      </c>
      <c r="L58" s="31">
        <v>0.0</v>
      </c>
      <c r="M58" s="31">
        <v>1.0</v>
      </c>
      <c r="N58" s="31">
        <v>10.0</v>
      </c>
      <c r="O58" s="31">
        <v>27.0</v>
      </c>
      <c r="P58" s="31">
        <v>8.0</v>
      </c>
      <c r="Q58" s="31">
        <v>4.0</v>
      </c>
      <c r="R58" s="31">
        <v>1.0</v>
      </c>
      <c r="S58" s="31">
        <v>6.0</v>
      </c>
      <c r="T58" s="31">
        <v>0.0</v>
      </c>
      <c r="U58" s="31">
        <v>2.0</v>
      </c>
      <c r="V58" s="31">
        <v>0.0</v>
      </c>
      <c r="W58" s="31">
        <v>6.0</v>
      </c>
      <c r="X58" s="31">
        <v>1.0</v>
      </c>
      <c r="Y58" s="31">
        <v>6.0</v>
      </c>
      <c r="Z58" s="76"/>
      <c r="AA58" s="76"/>
      <c r="AB58" s="25">
        <v>0.0</v>
      </c>
      <c r="AC58" s="25">
        <v>0.0</v>
      </c>
      <c r="AD58" s="31">
        <v>0.0</v>
      </c>
      <c r="AE58" s="31">
        <v>4.0</v>
      </c>
      <c r="AF58" s="31">
        <v>0.0</v>
      </c>
      <c r="AG58" s="31">
        <v>18.0</v>
      </c>
      <c r="AH58" s="98">
        <v>4.0</v>
      </c>
      <c r="AI58" s="98">
        <v>24.0</v>
      </c>
      <c r="AJ58" s="25">
        <v>0.0</v>
      </c>
      <c r="AK58" s="25">
        <v>0.0</v>
      </c>
      <c r="AL58" s="25">
        <v>51.0</v>
      </c>
    </row>
    <row r="59">
      <c r="A59" s="81" t="s">
        <v>18</v>
      </c>
      <c r="B59" s="81" t="s">
        <v>45</v>
      </c>
      <c r="C59" s="92">
        <v>45912.0</v>
      </c>
      <c r="D59" s="81">
        <v>23.0</v>
      </c>
      <c r="E59" s="81">
        <v>31.0</v>
      </c>
      <c r="F59" s="81">
        <v>33.0</v>
      </c>
      <c r="G59" s="89">
        <v>0.42592592592592593</v>
      </c>
      <c r="H59" s="81">
        <v>16.0</v>
      </c>
      <c r="I59" s="81">
        <v>16.0</v>
      </c>
      <c r="J59" s="81">
        <v>0.0</v>
      </c>
      <c r="K59" s="81">
        <v>0.0</v>
      </c>
      <c r="L59" s="81">
        <v>0.0</v>
      </c>
      <c r="M59" s="81">
        <v>0.0</v>
      </c>
      <c r="N59" s="81">
        <v>30.0</v>
      </c>
      <c r="O59" s="81">
        <v>22.0</v>
      </c>
      <c r="P59" s="81">
        <v>12.0</v>
      </c>
      <c r="Q59" s="81">
        <v>8.0</v>
      </c>
      <c r="R59" s="81">
        <v>6.0</v>
      </c>
      <c r="S59" s="81">
        <v>3.0</v>
      </c>
      <c r="T59" s="81">
        <v>5.0</v>
      </c>
      <c r="U59" s="81">
        <v>3.0</v>
      </c>
      <c r="V59" s="81">
        <v>3.0</v>
      </c>
      <c r="W59" s="81">
        <v>3.0</v>
      </c>
      <c r="X59" s="81">
        <v>0.0</v>
      </c>
      <c r="Y59" s="81">
        <v>0.0</v>
      </c>
      <c r="Z59" s="66">
        <v>0.0</v>
      </c>
      <c r="AA59" s="66">
        <v>0.0</v>
      </c>
      <c r="AB59" s="81">
        <v>6.0</v>
      </c>
      <c r="AC59" s="81">
        <v>9.0</v>
      </c>
      <c r="AD59" s="81">
        <v>10.0</v>
      </c>
      <c r="AE59" s="81">
        <v>3.0</v>
      </c>
      <c r="AF59" s="81">
        <v>0.0</v>
      </c>
      <c r="AG59" s="81">
        <v>0.0</v>
      </c>
      <c r="AH59" s="80">
        <f t="shared" ref="AH59:AI59" si="63">PRODUCT(Z59,5)</f>
        <v>0</v>
      </c>
      <c r="AI59" s="80">
        <f t="shared" si="63"/>
        <v>0</v>
      </c>
      <c r="AJ59" s="81">
        <v>19.0</v>
      </c>
      <c r="AK59" s="81">
        <v>15.0</v>
      </c>
      <c r="AL59" s="81">
        <v>132.0</v>
      </c>
    </row>
    <row r="60">
      <c r="A60" s="25" t="s">
        <v>5</v>
      </c>
      <c r="B60" s="75" t="s">
        <v>45</v>
      </c>
      <c r="C60" s="86">
        <v>45577.0</v>
      </c>
      <c r="D60" s="31">
        <v>48.0</v>
      </c>
      <c r="E60" s="31">
        <v>43.0</v>
      </c>
      <c r="F60" s="31">
        <v>70.0</v>
      </c>
      <c r="G60" s="87">
        <f>PRODUCT(D60,(1/(D60+E60)))</f>
        <v>0.5274725275</v>
      </c>
      <c r="H60" s="31">
        <v>31.0</v>
      </c>
      <c r="I60" s="31">
        <v>20.0</v>
      </c>
      <c r="J60" s="31">
        <v>0.0</v>
      </c>
      <c r="K60" s="31">
        <v>0.0</v>
      </c>
      <c r="L60" s="31">
        <v>0.0</v>
      </c>
      <c r="M60" s="31">
        <v>0.0</v>
      </c>
      <c r="N60" s="31">
        <v>65.0</v>
      </c>
      <c r="O60" s="31">
        <v>62.0</v>
      </c>
      <c r="P60" s="31">
        <v>44.0</v>
      </c>
      <c r="Q60" s="31">
        <v>25.0</v>
      </c>
      <c r="R60" s="31">
        <v>11.0</v>
      </c>
      <c r="S60" s="31">
        <v>17.0</v>
      </c>
      <c r="T60" s="31">
        <v>9.0</v>
      </c>
      <c r="U60" s="31">
        <v>3.0</v>
      </c>
      <c r="V60" s="31">
        <v>6.0</v>
      </c>
      <c r="W60" s="31">
        <v>11.0</v>
      </c>
      <c r="X60" s="31"/>
      <c r="Y60" s="31"/>
      <c r="Z60" s="76">
        <v>0.0</v>
      </c>
      <c r="AA60" s="76">
        <v>0.0</v>
      </c>
      <c r="AB60" s="31">
        <v>30.0</v>
      </c>
      <c r="AC60" s="31">
        <v>6.0</v>
      </c>
      <c r="AD60" s="31">
        <v>15.0</v>
      </c>
      <c r="AE60" s="31">
        <v>17.0</v>
      </c>
      <c r="AF60" s="31"/>
      <c r="AG60" s="31"/>
      <c r="AH60" s="77">
        <f t="shared" ref="AH60:AI60" si="64">PRODUCT(Z60,5)</f>
        <v>0</v>
      </c>
      <c r="AI60" s="77">
        <f t="shared" si="64"/>
        <v>0</v>
      </c>
      <c r="AJ60" s="31">
        <v>36.0</v>
      </c>
      <c r="AK60" s="31">
        <v>39.0</v>
      </c>
      <c r="AL60" s="31">
        <v>271.0</v>
      </c>
    </row>
    <row r="61">
      <c r="A61" s="81" t="s">
        <v>123</v>
      </c>
      <c r="B61" s="81" t="s">
        <v>79</v>
      </c>
      <c r="C61" s="92">
        <v>45577.0</v>
      </c>
      <c r="D61" s="81">
        <v>5.0</v>
      </c>
      <c r="E61" s="81">
        <v>12.0</v>
      </c>
      <c r="F61" s="81">
        <v>0.0</v>
      </c>
      <c r="G61" s="89">
        <v>0.29411764705882354</v>
      </c>
      <c r="H61" s="81">
        <v>4.0</v>
      </c>
      <c r="I61" s="81">
        <v>0.0</v>
      </c>
      <c r="J61" s="81">
        <v>0.0</v>
      </c>
      <c r="K61" s="81">
        <v>0.0</v>
      </c>
      <c r="L61" s="81">
        <v>0.0</v>
      </c>
      <c r="M61" s="81">
        <v>0.0</v>
      </c>
      <c r="N61" s="81">
        <v>9.0</v>
      </c>
      <c r="O61" s="81">
        <v>0.0</v>
      </c>
      <c r="P61" s="81">
        <v>7.0</v>
      </c>
      <c r="Q61" s="81">
        <v>0.0</v>
      </c>
      <c r="R61" s="81">
        <v>3.0</v>
      </c>
      <c r="S61" s="81">
        <v>0.0</v>
      </c>
      <c r="T61" s="81">
        <v>0.0</v>
      </c>
      <c r="U61" s="81">
        <v>0.0</v>
      </c>
      <c r="V61" s="81">
        <v>0.0</v>
      </c>
      <c r="W61" s="81">
        <v>0.0</v>
      </c>
      <c r="X61" s="81"/>
      <c r="Y61" s="81"/>
      <c r="Z61" s="66">
        <v>0.0</v>
      </c>
      <c r="AA61" s="66">
        <v>0.0</v>
      </c>
      <c r="AB61" s="81">
        <v>0.0</v>
      </c>
      <c r="AC61" s="81">
        <v>0.0</v>
      </c>
      <c r="AD61" s="81">
        <v>0.0</v>
      </c>
      <c r="AE61" s="81">
        <v>0.0</v>
      </c>
      <c r="AF61" s="81"/>
      <c r="AG61" s="81"/>
      <c r="AH61" s="80">
        <f t="shared" ref="AH61:AI61" si="65">PRODUCT(Z61,5)</f>
        <v>0</v>
      </c>
      <c r="AI61" s="80">
        <f t="shared" si="65"/>
        <v>0</v>
      </c>
      <c r="AJ61" s="81">
        <v>0.0</v>
      </c>
      <c r="AK61" s="81">
        <v>0.0</v>
      </c>
      <c r="AL61" s="81">
        <v>30.0</v>
      </c>
    </row>
    <row r="62">
      <c r="A62" s="98" t="s">
        <v>124</v>
      </c>
      <c r="B62" s="75">
        <v>2026.0</v>
      </c>
      <c r="C62" s="98">
        <v>11.0</v>
      </c>
      <c r="D62" s="98">
        <v>4.0</v>
      </c>
      <c r="E62" s="98">
        <v>5.0</v>
      </c>
      <c r="F62" s="99">
        <v>9.0</v>
      </c>
      <c r="G62" s="99">
        <v>0.4444444444444444</v>
      </c>
      <c r="H62" s="98">
        <v>2.0</v>
      </c>
      <c r="I62" s="98">
        <v>3.0</v>
      </c>
      <c r="J62" s="98">
        <v>0.0</v>
      </c>
      <c r="K62" s="98">
        <v>1.0</v>
      </c>
      <c r="L62" s="98">
        <v>0.0</v>
      </c>
      <c r="M62" s="98">
        <v>0.0</v>
      </c>
      <c r="N62" s="98">
        <v>2.0</v>
      </c>
      <c r="O62" s="98">
        <v>7.0</v>
      </c>
      <c r="P62" s="98">
        <v>2.0</v>
      </c>
      <c r="Q62" s="98">
        <v>2.0</v>
      </c>
      <c r="R62" s="98">
        <v>2.0</v>
      </c>
      <c r="S62" s="98">
        <v>3.0</v>
      </c>
      <c r="T62" s="98">
        <v>0.0</v>
      </c>
      <c r="U62" s="98">
        <v>0.0</v>
      </c>
      <c r="V62" s="98">
        <v>0.0</v>
      </c>
      <c r="W62" s="98">
        <v>0.0</v>
      </c>
      <c r="X62" s="98">
        <v>0.0</v>
      </c>
      <c r="Y62" s="98">
        <v>2.0</v>
      </c>
      <c r="Z62" s="76"/>
      <c r="AA62" s="76"/>
      <c r="AB62" s="75">
        <v>0.0</v>
      </c>
      <c r="AC62" s="75">
        <v>0.0</v>
      </c>
      <c r="AD62" s="98">
        <v>0.0</v>
      </c>
      <c r="AE62" s="98">
        <v>0.0</v>
      </c>
      <c r="AF62" s="98">
        <v>0.0</v>
      </c>
      <c r="AG62" s="98">
        <v>0.0</v>
      </c>
      <c r="AH62" s="98">
        <v>0.0</v>
      </c>
      <c r="AI62" s="98">
        <v>8.0</v>
      </c>
      <c r="AJ62" s="75">
        <v>0.0</v>
      </c>
      <c r="AK62" s="75">
        <v>0.0</v>
      </c>
      <c r="AL62" s="75">
        <v>12.0</v>
      </c>
    </row>
    <row r="63">
      <c r="A63" s="81" t="s">
        <v>125</v>
      </c>
      <c r="B63" s="81" t="s">
        <v>126</v>
      </c>
      <c r="C63" s="92">
        <v>45608.0</v>
      </c>
      <c r="D63" s="81">
        <v>2.0</v>
      </c>
      <c r="E63" s="81">
        <v>5.0</v>
      </c>
      <c r="F63" s="81">
        <v>0.0</v>
      </c>
      <c r="G63" s="89">
        <v>0.29411764705882354</v>
      </c>
      <c r="H63" s="81">
        <v>2.0</v>
      </c>
      <c r="I63" s="81">
        <v>0.0</v>
      </c>
      <c r="J63" s="81">
        <v>0.0</v>
      </c>
      <c r="K63" s="81">
        <v>0.0</v>
      </c>
      <c r="L63" s="81">
        <v>0.0</v>
      </c>
      <c r="M63" s="81">
        <v>0.0</v>
      </c>
      <c r="N63" s="81">
        <v>5.0</v>
      </c>
      <c r="O63" s="81">
        <v>0.0</v>
      </c>
      <c r="P63" s="81">
        <v>1.0</v>
      </c>
      <c r="Q63" s="81">
        <v>0.0</v>
      </c>
      <c r="R63" s="81">
        <v>0.0</v>
      </c>
      <c r="S63" s="81">
        <v>0.0</v>
      </c>
      <c r="T63" s="81">
        <v>0.0</v>
      </c>
      <c r="U63" s="81">
        <v>0.0</v>
      </c>
      <c r="V63" s="81">
        <v>0.0</v>
      </c>
      <c r="W63" s="81">
        <v>0.0</v>
      </c>
      <c r="X63" s="81"/>
      <c r="Y63" s="81"/>
      <c r="Z63" s="66">
        <v>0.0</v>
      </c>
      <c r="AA63" s="66">
        <v>0.0</v>
      </c>
      <c r="AB63" s="81">
        <v>0.0</v>
      </c>
      <c r="AC63" s="81">
        <v>0.0</v>
      </c>
      <c r="AD63" s="81">
        <v>0.0</v>
      </c>
      <c r="AE63" s="81">
        <v>0.0</v>
      </c>
      <c r="AF63" s="81"/>
      <c r="AG63" s="81"/>
      <c r="AH63" s="80">
        <f t="shared" ref="AH63:AI63" si="66">PRODUCT(Z63,5)</f>
        <v>0</v>
      </c>
      <c r="AI63" s="80">
        <f t="shared" si="66"/>
        <v>0</v>
      </c>
      <c r="AJ63" s="81">
        <v>0.0</v>
      </c>
      <c r="AK63" s="81">
        <v>0.0</v>
      </c>
      <c r="AL63" s="81">
        <v>12.0</v>
      </c>
    </row>
    <row r="64">
      <c r="A64" s="31" t="s">
        <v>127</v>
      </c>
      <c r="B64" s="98" t="s">
        <v>37</v>
      </c>
      <c r="C64" s="31">
        <v>9.0</v>
      </c>
      <c r="D64" s="31">
        <v>23.0</v>
      </c>
      <c r="E64" s="31">
        <v>18.0</v>
      </c>
      <c r="F64" s="91">
        <v>41.0</v>
      </c>
      <c r="G64" s="91">
        <v>0.5609756097560976</v>
      </c>
      <c r="H64" s="31">
        <v>14.0</v>
      </c>
      <c r="I64" s="31">
        <v>10.0</v>
      </c>
      <c r="J64" s="31">
        <v>0.0</v>
      </c>
      <c r="K64" s="31">
        <v>5.0</v>
      </c>
      <c r="L64" s="31">
        <v>1.0</v>
      </c>
      <c r="M64" s="31">
        <v>2.0</v>
      </c>
      <c r="N64" s="31">
        <v>27.0</v>
      </c>
      <c r="O64" s="31">
        <v>32.0</v>
      </c>
      <c r="P64" s="31">
        <v>16.0</v>
      </c>
      <c r="Q64" s="31">
        <v>6.0</v>
      </c>
      <c r="R64" s="31">
        <v>0.0</v>
      </c>
      <c r="S64" s="31">
        <v>9.0</v>
      </c>
      <c r="T64" s="31">
        <v>3.0</v>
      </c>
      <c r="U64" s="31">
        <v>1.0</v>
      </c>
      <c r="V64" s="31">
        <v>1.0</v>
      </c>
      <c r="W64" s="31">
        <v>6.0</v>
      </c>
      <c r="X64" s="31">
        <v>6.0</v>
      </c>
      <c r="Y64" s="31">
        <v>13.0</v>
      </c>
      <c r="Z64" s="76"/>
      <c r="AA64" s="76"/>
      <c r="AB64" s="25">
        <v>0.0</v>
      </c>
      <c r="AC64" s="25">
        <v>0.0</v>
      </c>
      <c r="AD64" s="31">
        <v>6.0</v>
      </c>
      <c r="AE64" s="31">
        <v>2.0</v>
      </c>
      <c r="AF64" s="31">
        <v>3.0</v>
      </c>
      <c r="AG64" s="31">
        <v>18.0</v>
      </c>
      <c r="AH64" s="98">
        <v>24.0</v>
      </c>
      <c r="AI64" s="98">
        <v>52.0</v>
      </c>
      <c r="AJ64" s="25">
        <v>0.0</v>
      </c>
      <c r="AK64" s="25">
        <v>0.0</v>
      </c>
      <c r="AL64" s="25">
        <v>91.0</v>
      </c>
    </row>
    <row r="65">
      <c r="A65" s="81" t="s">
        <v>128</v>
      </c>
      <c r="B65" s="81">
        <v>2019.0</v>
      </c>
      <c r="C65" s="81"/>
      <c r="D65" s="81">
        <v>1.0</v>
      </c>
      <c r="E65" s="81">
        <v>7.0</v>
      </c>
      <c r="F65" s="81"/>
      <c r="G65" s="89">
        <f>PRODUCT(D65,(1/(D65+E65)))</f>
        <v>0.125</v>
      </c>
      <c r="H65" s="81">
        <v>0.0</v>
      </c>
      <c r="I65" s="81"/>
      <c r="J65" s="81">
        <v>0.0</v>
      </c>
      <c r="K65" s="81"/>
      <c r="L65" s="81">
        <v>0.0</v>
      </c>
      <c r="M65" s="81"/>
      <c r="N65" s="81">
        <v>4.0</v>
      </c>
      <c r="O65" s="81"/>
      <c r="P65" s="81">
        <v>6.0</v>
      </c>
      <c r="Q65" s="81"/>
      <c r="R65" s="81">
        <v>0.0</v>
      </c>
      <c r="S65" s="81"/>
      <c r="T65" s="81">
        <v>0.0</v>
      </c>
      <c r="U65" s="81"/>
      <c r="V65" s="81">
        <v>0.0</v>
      </c>
      <c r="W65" s="81"/>
      <c r="X65" s="81"/>
      <c r="Y65" s="81"/>
      <c r="Z65" s="66">
        <v>0.0</v>
      </c>
      <c r="AA65" s="66">
        <v>0.0</v>
      </c>
      <c r="AB65" s="81"/>
      <c r="AC65" s="81"/>
      <c r="AD65" s="81"/>
      <c r="AE65" s="81"/>
      <c r="AF65" s="81"/>
      <c r="AG65" s="81"/>
      <c r="AH65" s="80">
        <f t="shared" ref="AH65:AI65" si="67">PRODUCT(Z65,5)</f>
        <v>0</v>
      </c>
      <c r="AI65" s="80">
        <f t="shared" si="67"/>
        <v>0</v>
      </c>
      <c r="AJ65" s="81">
        <v>0.0</v>
      </c>
      <c r="AK65" s="81"/>
      <c r="AL65" s="81">
        <v>6.0</v>
      </c>
    </row>
    <row r="66">
      <c r="A66" s="25" t="s">
        <v>129</v>
      </c>
      <c r="B66" s="25">
        <v>2023.0</v>
      </c>
      <c r="C66" s="25">
        <v>11.0</v>
      </c>
      <c r="D66" s="25">
        <v>0.0</v>
      </c>
      <c r="E66" s="25">
        <v>2.0</v>
      </c>
      <c r="F66" s="25">
        <f>SUM(D66:E66)</f>
        <v>2</v>
      </c>
      <c r="G66" s="82">
        <f>PRODUCT(D66,(1/F66))</f>
        <v>0</v>
      </c>
      <c r="H66" s="25">
        <v>0.0</v>
      </c>
      <c r="I66" s="25">
        <v>2.0</v>
      </c>
      <c r="J66" s="25">
        <v>0.0</v>
      </c>
      <c r="K66" s="25">
        <v>0.0</v>
      </c>
      <c r="L66" s="25">
        <v>0.0</v>
      </c>
      <c r="M66" s="25">
        <v>0.0</v>
      </c>
      <c r="N66" s="25">
        <v>2.0</v>
      </c>
      <c r="O66" s="25">
        <v>2.0</v>
      </c>
      <c r="P66" s="25">
        <v>0.0</v>
      </c>
      <c r="Q66" s="25">
        <v>2.0</v>
      </c>
      <c r="R66" s="25">
        <v>0.0</v>
      </c>
      <c r="S66" s="25">
        <v>0.0</v>
      </c>
      <c r="T66" s="25">
        <v>1.0</v>
      </c>
      <c r="U66" s="25">
        <v>0.0</v>
      </c>
      <c r="V66" s="25">
        <v>0.0</v>
      </c>
      <c r="W66" s="25">
        <v>0.0</v>
      </c>
      <c r="X66" s="25"/>
      <c r="Y66" s="25"/>
      <c r="Z66" s="76">
        <v>0.0</v>
      </c>
      <c r="AA66" s="76">
        <v>0.0</v>
      </c>
      <c r="AB66" s="25">
        <f>PRODUCT(W66,3)</f>
        <v>0</v>
      </c>
      <c r="AC66" s="25">
        <f>PRODUCT(U66,2)</f>
        <v>0</v>
      </c>
      <c r="AD66" s="25">
        <f>PRODUCT(V66,3)</f>
        <v>0</v>
      </c>
      <c r="AE66" s="25">
        <f>PRODUCT(T66,2)</f>
        <v>2</v>
      </c>
      <c r="AF66" s="25"/>
      <c r="AG66" s="25"/>
      <c r="AH66" s="77">
        <f t="shared" ref="AH66:AI66" si="68">PRODUCT(Z66,5)</f>
        <v>0</v>
      </c>
      <c r="AI66" s="77">
        <f t="shared" si="68"/>
        <v>0</v>
      </c>
      <c r="AJ66" s="77">
        <f>SUM(AD66,AE66)</f>
        <v>2</v>
      </c>
      <c r="AK66" s="77">
        <f>SUM(AB66,AC66)</f>
        <v>0</v>
      </c>
      <c r="AL66" s="25">
        <v>0.0</v>
      </c>
    </row>
    <row r="67">
      <c r="A67" s="81" t="s">
        <v>130</v>
      </c>
      <c r="B67" s="81">
        <v>2019.0</v>
      </c>
      <c r="C67" s="81"/>
      <c r="D67" s="81">
        <v>8.0</v>
      </c>
      <c r="E67" s="81">
        <v>1.0</v>
      </c>
      <c r="F67" s="81"/>
      <c r="G67" s="89">
        <f>PRODUCT(D67,(1/(D67+E67)))</f>
        <v>0.8888888889</v>
      </c>
      <c r="H67" s="81">
        <v>5.0</v>
      </c>
      <c r="I67" s="81"/>
      <c r="J67" s="81">
        <v>0.0</v>
      </c>
      <c r="K67" s="81"/>
      <c r="L67" s="81">
        <v>0.0</v>
      </c>
      <c r="M67" s="81"/>
      <c r="N67" s="81">
        <v>11.0</v>
      </c>
      <c r="O67" s="81"/>
      <c r="P67" s="81">
        <v>5.0</v>
      </c>
      <c r="Q67" s="81"/>
      <c r="R67" s="81">
        <v>2.0</v>
      </c>
      <c r="S67" s="81"/>
      <c r="T67" s="81">
        <v>1.0</v>
      </c>
      <c r="U67" s="81"/>
      <c r="V67" s="81">
        <v>4.0</v>
      </c>
      <c r="W67" s="81"/>
      <c r="X67" s="81"/>
      <c r="Y67" s="81"/>
      <c r="Z67" s="66">
        <v>0.0</v>
      </c>
      <c r="AA67" s="66">
        <v>0.0</v>
      </c>
      <c r="AB67" s="81"/>
      <c r="AC67" s="81"/>
      <c r="AD67" s="81"/>
      <c r="AE67" s="81"/>
      <c r="AF67" s="81"/>
      <c r="AG67" s="81"/>
      <c r="AH67" s="80">
        <f t="shared" ref="AH67:AI67" si="69">PRODUCT(Z67,5)</f>
        <v>0</v>
      </c>
      <c r="AI67" s="80">
        <f t="shared" si="69"/>
        <v>0</v>
      </c>
      <c r="AJ67" s="81">
        <v>13.0</v>
      </c>
      <c r="AK67" s="81"/>
      <c r="AL67" s="81">
        <v>43.0</v>
      </c>
    </row>
    <row r="68">
      <c r="A68" s="25" t="s">
        <v>131</v>
      </c>
      <c r="B68" s="25">
        <v>2023.0</v>
      </c>
      <c r="C68" s="86">
        <v>45576.0</v>
      </c>
      <c r="D68" s="25">
        <v>9.0</v>
      </c>
      <c r="E68" s="25">
        <v>8.0</v>
      </c>
      <c r="F68" s="25">
        <v>5.0</v>
      </c>
      <c r="G68" s="82">
        <v>0.5294117647058824</v>
      </c>
      <c r="H68" s="25">
        <v>7.0</v>
      </c>
      <c r="I68" s="25">
        <v>2.0</v>
      </c>
      <c r="J68" s="25">
        <v>0.0</v>
      </c>
      <c r="K68" s="25">
        <v>0.0</v>
      </c>
      <c r="L68" s="25">
        <v>0.0</v>
      </c>
      <c r="M68" s="25">
        <v>0.0</v>
      </c>
      <c r="N68" s="25">
        <v>7.0</v>
      </c>
      <c r="O68" s="25">
        <v>4.0</v>
      </c>
      <c r="P68" s="25">
        <v>1.0</v>
      </c>
      <c r="Q68" s="25">
        <v>4.0</v>
      </c>
      <c r="R68" s="25">
        <v>5.0</v>
      </c>
      <c r="S68" s="25">
        <v>1.0</v>
      </c>
      <c r="T68" s="25">
        <v>1.0</v>
      </c>
      <c r="U68" s="25">
        <v>3.0</v>
      </c>
      <c r="V68" s="25">
        <v>0.0</v>
      </c>
      <c r="W68" s="25">
        <v>2.0</v>
      </c>
      <c r="X68" s="25"/>
      <c r="Y68" s="25"/>
      <c r="Z68" s="76">
        <v>0.0</v>
      </c>
      <c r="AA68" s="76">
        <v>0.0</v>
      </c>
      <c r="AB68" s="25">
        <v>6.0</v>
      </c>
      <c r="AC68" s="25">
        <v>6.0</v>
      </c>
      <c r="AD68" s="25">
        <v>0.0</v>
      </c>
      <c r="AE68" s="25">
        <v>0.0</v>
      </c>
      <c r="AF68" s="25"/>
      <c r="AG68" s="25"/>
      <c r="AH68" s="77">
        <f t="shared" ref="AH68:AI68" si="70">PRODUCT(Z68,5)</f>
        <v>0</v>
      </c>
      <c r="AI68" s="77">
        <f t="shared" si="70"/>
        <v>0</v>
      </c>
      <c r="AJ68" s="75">
        <v>2.0</v>
      </c>
      <c r="AK68" s="75">
        <v>12.0</v>
      </c>
      <c r="AL68" s="25">
        <v>36.0</v>
      </c>
    </row>
    <row r="69">
      <c r="A69" s="81" t="s">
        <v>132</v>
      </c>
      <c r="B69" s="81">
        <v>2022.0</v>
      </c>
      <c r="C69" s="81">
        <v>10.0</v>
      </c>
      <c r="D69" s="81">
        <v>8.0</v>
      </c>
      <c r="E69" s="81">
        <v>15.0</v>
      </c>
      <c r="F69" s="81"/>
      <c r="G69" s="89">
        <f t="shared" ref="G69:G70" si="72">PRODUCT(D69,(1/(D69+E69)))</f>
        <v>0.347826087</v>
      </c>
      <c r="H69" s="81">
        <v>8.0</v>
      </c>
      <c r="I69" s="81"/>
      <c r="J69" s="81">
        <v>0.0</v>
      </c>
      <c r="K69" s="81"/>
      <c r="L69" s="81">
        <v>0.0</v>
      </c>
      <c r="M69" s="81"/>
      <c r="N69" s="81">
        <v>15.0</v>
      </c>
      <c r="O69" s="81"/>
      <c r="P69" s="81">
        <v>13.0</v>
      </c>
      <c r="Q69" s="81"/>
      <c r="R69" s="81">
        <v>8.0</v>
      </c>
      <c r="S69" s="81"/>
      <c r="T69" s="81">
        <v>1.0</v>
      </c>
      <c r="U69" s="81"/>
      <c r="V69" s="81">
        <v>1.0</v>
      </c>
      <c r="W69" s="81"/>
      <c r="X69" s="81"/>
      <c r="Y69" s="81"/>
      <c r="Z69" s="66">
        <v>0.0</v>
      </c>
      <c r="AA69" s="66">
        <v>0.0</v>
      </c>
      <c r="AB69" s="81"/>
      <c r="AC69" s="81"/>
      <c r="AD69" s="81"/>
      <c r="AE69" s="81"/>
      <c r="AF69" s="81"/>
      <c r="AG69" s="81"/>
      <c r="AH69" s="80">
        <f t="shared" ref="AH69:AI69" si="71">PRODUCT(Z69,5)</f>
        <v>0</v>
      </c>
      <c r="AI69" s="80">
        <f t="shared" si="71"/>
        <v>0</v>
      </c>
      <c r="AJ69" s="81">
        <v>5.0</v>
      </c>
      <c r="AK69" s="81"/>
      <c r="AL69" s="81">
        <v>48.0</v>
      </c>
    </row>
    <row r="70">
      <c r="A70" s="75" t="s">
        <v>133</v>
      </c>
      <c r="B70" s="75">
        <v>2019.0</v>
      </c>
      <c r="C70" s="75"/>
      <c r="D70" s="75">
        <v>7.0</v>
      </c>
      <c r="E70" s="75">
        <v>3.0</v>
      </c>
      <c r="F70" s="75"/>
      <c r="G70" s="87">
        <f t="shared" si="72"/>
        <v>0.7</v>
      </c>
      <c r="H70" s="75">
        <v>6.0</v>
      </c>
      <c r="I70" s="75"/>
      <c r="J70" s="75">
        <v>0.0</v>
      </c>
      <c r="K70" s="75"/>
      <c r="L70" s="75">
        <v>1.0</v>
      </c>
      <c r="M70" s="75"/>
      <c r="N70" s="75">
        <v>11.0</v>
      </c>
      <c r="O70" s="75"/>
      <c r="P70" s="75">
        <v>1.0</v>
      </c>
      <c r="Q70" s="75"/>
      <c r="R70" s="75">
        <v>2.0</v>
      </c>
      <c r="S70" s="75"/>
      <c r="T70" s="75">
        <v>1.0</v>
      </c>
      <c r="U70" s="75"/>
      <c r="V70" s="75">
        <v>3.0</v>
      </c>
      <c r="W70" s="75"/>
      <c r="X70" s="75"/>
      <c r="Y70" s="75"/>
      <c r="Z70" s="76">
        <v>0.0</v>
      </c>
      <c r="AA70" s="76">
        <v>0.0</v>
      </c>
      <c r="AB70" s="75"/>
      <c r="AC70" s="75"/>
      <c r="AD70" s="75"/>
      <c r="AE70" s="75"/>
      <c r="AF70" s="75"/>
      <c r="AG70" s="75"/>
      <c r="AH70" s="77">
        <f t="shared" ref="AH70:AI70" si="73">PRODUCT(Z70,5)</f>
        <v>0</v>
      </c>
      <c r="AI70" s="77">
        <f t="shared" si="73"/>
        <v>0</v>
      </c>
      <c r="AJ70" s="75">
        <v>11.0</v>
      </c>
      <c r="AK70" s="75"/>
      <c r="AL70" s="75">
        <v>39.0</v>
      </c>
    </row>
    <row r="71">
      <c r="A71" s="13" t="s">
        <v>134</v>
      </c>
      <c r="B71" s="81" t="s">
        <v>43</v>
      </c>
      <c r="C71" s="83">
        <v>45608.0</v>
      </c>
      <c r="D71" s="13">
        <v>14.0</v>
      </c>
      <c r="E71" s="13">
        <v>16.0</v>
      </c>
      <c r="F71" s="13">
        <v>30.0</v>
      </c>
      <c r="G71" s="90">
        <v>0.4666666666666667</v>
      </c>
      <c r="H71" s="13">
        <v>10.0</v>
      </c>
      <c r="I71" s="13">
        <v>15.0</v>
      </c>
      <c r="J71" s="13">
        <v>0.0</v>
      </c>
      <c r="K71" s="13">
        <v>0.0</v>
      </c>
      <c r="L71" s="13">
        <v>0.0</v>
      </c>
      <c r="M71" s="13">
        <v>1.0</v>
      </c>
      <c r="N71" s="13">
        <v>24.0</v>
      </c>
      <c r="O71" s="13">
        <v>24.0</v>
      </c>
      <c r="P71" s="13">
        <v>14.0</v>
      </c>
      <c r="Q71" s="13">
        <v>7.0</v>
      </c>
      <c r="R71" s="13">
        <v>3.0</v>
      </c>
      <c r="S71" s="13">
        <v>8.0</v>
      </c>
      <c r="T71" s="13">
        <v>8.0</v>
      </c>
      <c r="U71" s="13">
        <v>4.0</v>
      </c>
      <c r="V71" s="13">
        <v>3.0</v>
      </c>
      <c r="W71" s="13">
        <v>6.0</v>
      </c>
      <c r="X71" s="13"/>
      <c r="Y71" s="13"/>
      <c r="Z71" s="66">
        <v>0.0</v>
      </c>
      <c r="AA71" s="66">
        <v>0.0</v>
      </c>
      <c r="AB71" s="13">
        <v>20.0</v>
      </c>
      <c r="AC71" s="13">
        <v>8.0</v>
      </c>
      <c r="AD71" s="13">
        <v>9.0</v>
      </c>
      <c r="AE71" s="13">
        <v>14.0</v>
      </c>
      <c r="AF71" s="13"/>
      <c r="AG71" s="13"/>
      <c r="AH71" s="80">
        <f t="shared" ref="AH71:AI71" si="74">PRODUCT(Z71,5)</f>
        <v>0</v>
      </c>
      <c r="AI71" s="80">
        <f t="shared" si="74"/>
        <v>0</v>
      </c>
      <c r="AJ71" s="13">
        <v>25.0</v>
      </c>
      <c r="AK71" s="13">
        <v>26.0</v>
      </c>
      <c r="AL71" s="13">
        <v>36.0</v>
      </c>
    </row>
    <row r="72">
      <c r="A72" s="25" t="s">
        <v>135</v>
      </c>
      <c r="B72" s="75" t="s">
        <v>42</v>
      </c>
      <c r="C72" s="86">
        <v>45973.0</v>
      </c>
      <c r="D72" s="25">
        <v>20.0</v>
      </c>
      <c r="E72" s="25">
        <v>31.0</v>
      </c>
      <c r="F72" s="25">
        <v>51.0</v>
      </c>
      <c r="G72" s="82">
        <v>0.39215686274509803</v>
      </c>
      <c r="H72" s="25">
        <v>13.0</v>
      </c>
      <c r="I72" s="25">
        <v>23.0</v>
      </c>
      <c r="J72" s="25">
        <v>0.0</v>
      </c>
      <c r="K72" s="25">
        <v>1.0</v>
      </c>
      <c r="L72" s="25">
        <v>0.0</v>
      </c>
      <c r="M72" s="25">
        <v>1.0</v>
      </c>
      <c r="N72" s="25">
        <v>33.0</v>
      </c>
      <c r="O72" s="25">
        <v>46.0</v>
      </c>
      <c r="P72" s="25">
        <v>13.0</v>
      </c>
      <c r="Q72" s="25">
        <v>29.0</v>
      </c>
      <c r="R72" s="25">
        <v>12.0</v>
      </c>
      <c r="S72" s="25">
        <v>11.0</v>
      </c>
      <c r="T72" s="25">
        <v>1.0</v>
      </c>
      <c r="U72" s="25">
        <v>3.0</v>
      </c>
      <c r="V72" s="25">
        <v>1.0</v>
      </c>
      <c r="W72" s="25">
        <v>0.0</v>
      </c>
      <c r="X72" s="25">
        <v>2.0</v>
      </c>
      <c r="Y72" s="25">
        <v>3.0</v>
      </c>
      <c r="Z72" s="76">
        <v>0.0</v>
      </c>
      <c r="AA72" s="76">
        <v>0.0</v>
      </c>
      <c r="AB72" s="25">
        <v>6.0</v>
      </c>
      <c r="AC72" s="25">
        <v>0.0</v>
      </c>
      <c r="AD72" s="25">
        <v>2.0</v>
      </c>
      <c r="AE72" s="25">
        <v>3.0</v>
      </c>
      <c r="AF72" s="25">
        <v>8.0</v>
      </c>
      <c r="AG72" s="25">
        <v>12.0</v>
      </c>
      <c r="AH72" s="77">
        <f t="shared" ref="AH72:AI72" si="75">PRODUCT(Z72,5)</f>
        <v>0</v>
      </c>
      <c r="AI72" s="77">
        <f t="shared" si="75"/>
        <v>0</v>
      </c>
      <c r="AJ72" s="25">
        <v>13.0</v>
      </c>
      <c r="AK72" s="25">
        <v>18.0</v>
      </c>
      <c r="AL72" s="25">
        <v>105.0</v>
      </c>
    </row>
    <row r="73">
      <c r="A73" s="13" t="s">
        <v>12</v>
      </c>
      <c r="B73" s="13" t="s">
        <v>39</v>
      </c>
      <c r="C73" s="83">
        <v>45547.0</v>
      </c>
      <c r="D73" s="13">
        <v>54.0</v>
      </c>
      <c r="E73" s="13">
        <v>21.0</v>
      </c>
      <c r="F73" s="13">
        <v>42.0</v>
      </c>
      <c r="G73" s="90">
        <v>0.7200000000000001</v>
      </c>
      <c r="H73" s="13">
        <v>41.0</v>
      </c>
      <c r="I73" s="13">
        <v>4.0</v>
      </c>
      <c r="J73" s="13">
        <v>0.0</v>
      </c>
      <c r="K73" s="13">
        <v>0.0</v>
      </c>
      <c r="L73" s="13">
        <v>1.0</v>
      </c>
      <c r="M73" s="13">
        <v>2.0</v>
      </c>
      <c r="N73" s="13">
        <v>59.0</v>
      </c>
      <c r="O73" s="13">
        <v>25.0</v>
      </c>
      <c r="P73" s="13">
        <v>20.0</v>
      </c>
      <c r="Q73" s="13">
        <v>6.0</v>
      </c>
      <c r="R73" s="13">
        <v>6.0</v>
      </c>
      <c r="S73" s="13">
        <v>5.0</v>
      </c>
      <c r="T73" s="13">
        <v>4.0</v>
      </c>
      <c r="U73" s="13">
        <v>2.0</v>
      </c>
      <c r="V73" s="13">
        <v>6.0</v>
      </c>
      <c r="W73" s="13">
        <v>2.0</v>
      </c>
      <c r="X73" s="13"/>
      <c r="Y73" s="13"/>
      <c r="Z73" s="66">
        <v>0.0</v>
      </c>
      <c r="AA73" s="66">
        <v>0.0</v>
      </c>
      <c r="AB73" s="13">
        <v>6.0</v>
      </c>
      <c r="AC73" s="13">
        <v>4.0</v>
      </c>
      <c r="AD73" s="13">
        <v>15.0</v>
      </c>
      <c r="AE73" s="13">
        <v>6.0</v>
      </c>
      <c r="AF73" s="13"/>
      <c r="AG73" s="13"/>
      <c r="AH73" s="80">
        <f t="shared" ref="AH73:AI73" si="76">PRODUCT(Z73,5)</f>
        <v>0</v>
      </c>
      <c r="AI73" s="80">
        <f t="shared" si="76"/>
        <v>0</v>
      </c>
      <c r="AJ73" s="81">
        <v>26.0</v>
      </c>
      <c r="AK73" s="81">
        <v>10.0</v>
      </c>
      <c r="AL73" s="13">
        <v>265.0</v>
      </c>
    </row>
    <row r="74">
      <c r="A74" s="25" t="s">
        <v>19</v>
      </c>
      <c r="B74" s="75" t="s">
        <v>91</v>
      </c>
      <c r="C74" s="86">
        <v>46275.0</v>
      </c>
      <c r="D74" s="31">
        <v>14.0</v>
      </c>
      <c r="E74" s="31">
        <v>12.0</v>
      </c>
      <c r="F74" s="31">
        <v>26.0</v>
      </c>
      <c r="G74" s="91">
        <v>0.5384615384615385</v>
      </c>
      <c r="H74" s="31">
        <v>10.0</v>
      </c>
      <c r="I74" s="31">
        <v>12.0</v>
      </c>
      <c r="J74" s="31">
        <v>0.0</v>
      </c>
      <c r="K74" s="31">
        <v>0.0</v>
      </c>
      <c r="L74" s="31">
        <v>0.0</v>
      </c>
      <c r="M74" s="31">
        <v>0.0</v>
      </c>
      <c r="N74" s="31">
        <v>9.0</v>
      </c>
      <c r="O74" s="31">
        <v>18.0</v>
      </c>
      <c r="P74" s="31">
        <v>3.0</v>
      </c>
      <c r="Q74" s="31">
        <v>2.0</v>
      </c>
      <c r="R74" s="31">
        <v>3.0</v>
      </c>
      <c r="S74" s="31">
        <v>2.0</v>
      </c>
      <c r="T74" s="31">
        <v>1.0</v>
      </c>
      <c r="U74" s="31">
        <v>1.0</v>
      </c>
      <c r="V74" s="31">
        <v>0.0</v>
      </c>
      <c r="W74" s="31">
        <v>2.0</v>
      </c>
      <c r="X74" s="31">
        <v>2.0</v>
      </c>
      <c r="Y74" s="31">
        <v>2.0</v>
      </c>
      <c r="Z74" s="97">
        <v>0.0</v>
      </c>
      <c r="AA74" s="97">
        <v>0.0</v>
      </c>
      <c r="AB74" s="31">
        <v>0.0</v>
      </c>
      <c r="AC74" s="31">
        <v>2.0</v>
      </c>
      <c r="AD74" s="31">
        <v>2.0</v>
      </c>
      <c r="AE74" s="31">
        <v>3.0</v>
      </c>
      <c r="AF74" s="31">
        <v>4.0</v>
      </c>
      <c r="AG74" s="31">
        <v>7.0</v>
      </c>
      <c r="AH74" s="98">
        <v>4.0</v>
      </c>
      <c r="AI74" s="98">
        <v>4.0</v>
      </c>
      <c r="AJ74" s="31">
        <v>4.0</v>
      </c>
      <c r="AK74" s="31">
        <v>9.0</v>
      </c>
      <c r="AL74" s="31">
        <v>68.0</v>
      </c>
    </row>
    <row r="75">
      <c r="A75" s="71" t="s">
        <v>136</v>
      </c>
      <c r="B75" s="81" t="s">
        <v>91</v>
      </c>
      <c r="C75" s="71">
        <v>9.0</v>
      </c>
      <c r="D75" s="71">
        <v>2.0</v>
      </c>
      <c r="E75" s="71">
        <v>16.0</v>
      </c>
      <c r="F75" s="93">
        <v>18.0</v>
      </c>
      <c r="G75" s="93">
        <v>0.1111111111111111</v>
      </c>
      <c r="H75" s="71">
        <v>2.0</v>
      </c>
      <c r="I75" s="71">
        <v>16.0</v>
      </c>
      <c r="J75" s="71">
        <v>0.0</v>
      </c>
      <c r="K75" s="71">
        <v>0.0</v>
      </c>
      <c r="L75" s="71">
        <v>0.0</v>
      </c>
      <c r="M75" s="71">
        <v>0.0</v>
      </c>
      <c r="N75" s="71">
        <v>3.0</v>
      </c>
      <c r="O75" s="71">
        <v>23.0</v>
      </c>
      <c r="P75" s="71">
        <v>5.0</v>
      </c>
      <c r="Q75" s="71">
        <v>3.0</v>
      </c>
      <c r="R75" s="71">
        <v>2.0</v>
      </c>
      <c r="S75" s="71">
        <v>4.0</v>
      </c>
      <c r="T75" s="71">
        <v>0.0</v>
      </c>
      <c r="U75" s="71">
        <v>2.0</v>
      </c>
      <c r="V75" s="71">
        <v>0.0</v>
      </c>
      <c r="W75" s="71">
        <v>3.0</v>
      </c>
      <c r="X75" s="71">
        <v>0.0</v>
      </c>
      <c r="Y75" s="71">
        <v>5.0</v>
      </c>
      <c r="Z75" s="66"/>
      <c r="AA75" s="66"/>
      <c r="AB75" s="81">
        <v>0.0</v>
      </c>
      <c r="AC75" s="81">
        <v>0.0</v>
      </c>
      <c r="AD75" s="71">
        <v>0.0</v>
      </c>
      <c r="AE75" s="71">
        <v>4.0</v>
      </c>
      <c r="AF75" s="71">
        <v>0.0</v>
      </c>
      <c r="AG75" s="71">
        <v>9.0</v>
      </c>
      <c r="AH75" s="71">
        <v>0.0</v>
      </c>
      <c r="AI75" s="71">
        <v>20.0</v>
      </c>
      <c r="AJ75" s="81">
        <v>0.0</v>
      </c>
      <c r="AK75" s="81">
        <v>0.0</v>
      </c>
      <c r="AL75" s="81">
        <v>12.0</v>
      </c>
    </row>
    <row r="76">
      <c r="A76" s="25" t="s">
        <v>29</v>
      </c>
      <c r="B76" s="75" t="s">
        <v>47</v>
      </c>
      <c r="C76" s="86">
        <v>45941.0</v>
      </c>
      <c r="D76" s="31">
        <v>82.0</v>
      </c>
      <c r="E76" s="31">
        <v>46.0</v>
      </c>
      <c r="F76" s="31">
        <v>128.0</v>
      </c>
      <c r="G76" s="91">
        <v>0.640625</v>
      </c>
      <c r="H76" s="31">
        <v>46.0</v>
      </c>
      <c r="I76" s="31">
        <v>28.0</v>
      </c>
      <c r="J76" s="31">
        <v>1.0</v>
      </c>
      <c r="K76" s="31">
        <v>2.0</v>
      </c>
      <c r="L76" s="31">
        <v>4.0</v>
      </c>
      <c r="M76" s="31">
        <v>5.0</v>
      </c>
      <c r="N76" s="31">
        <v>122.0</v>
      </c>
      <c r="O76" s="31">
        <v>105.0</v>
      </c>
      <c r="P76" s="31">
        <v>46.0</v>
      </c>
      <c r="Q76" s="31">
        <v>45.0</v>
      </c>
      <c r="R76" s="31">
        <v>26.0</v>
      </c>
      <c r="S76" s="31">
        <v>34.0</v>
      </c>
      <c r="T76" s="31">
        <v>7.0</v>
      </c>
      <c r="U76" s="31">
        <v>10.0</v>
      </c>
      <c r="V76" s="31">
        <v>15.0</v>
      </c>
      <c r="W76" s="31">
        <v>7.0</v>
      </c>
      <c r="X76" s="31">
        <v>18.0</v>
      </c>
      <c r="Y76" s="31">
        <v>6.0</v>
      </c>
      <c r="Z76" s="97">
        <v>0.0</v>
      </c>
      <c r="AA76" s="97">
        <v>0.0</v>
      </c>
      <c r="AB76" s="31">
        <v>12.0</v>
      </c>
      <c r="AC76" s="31">
        <v>8.0</v>
      </c>
      <c r="AD76" s="31">
        <v>29.0</v>
      </c>
      <c r="AE76" s="31">
        <v>33.0</v>
      </c>
      <c r="AF76" s="31">
        <v>54.0</v>
      </c>
      <c r="AG76" s="31">
        <v>16.0</v>
      </c>
      <c r="AH76" s="98">
        <v>36.0</v>
      </c>
      <c r="AI76" s="98">
        <v>8.0</v>
      </c>
      <c r="AJ76" s="31">
        <v>75.0</v>
      </c>
      <c r="AK76" s="31">
        <v>45.0</v>
      </c>
      <c r="AL76" s="31">
        <v>360.0</v>
      </c>
    </row>
    <row r="77">
      <c r="A77" s="71" t="s">
        <v>137</v>
      </c>
      <c r="B77" s="81">
        <v>2026.0</v>
      </c>
      <c r="C77" s="71">
        <v>9.0</v>
      </c>
      <c r="D77" s="71">
        <v>4.0</v>
      </c>
      <c r="E77" s="71">
        <v>4.0</v>
      </c>
      <c r="F77" s="93">
        <v>8.0</v>
      </c>
      <c r="G77" s="93">
        <v>0.5</v>
      </c>
      <c r="H77" s="71">
        <v>3.0</v>
      </c>
      <c r="I77" s="71">
        <v>4.0</v>
      </c>
      <c r="J77" s="71">
        <v>0.0</v>
      </c>
      <c r="K77" s="71">
        <v>0.0</v>
      </c>
      <c r="L77" s="71">
        <v>0.0</v>
      </c>
      <c r="M77" s="71">
        <v>0.0</v>
      </c>
      <c r="N77" s="71">
        <v>7.0</v>
      </c>
      <c r="O77" s="71">
        <v>6.0</v>
      </c>
      <c r="P77" s="71">
        <v>2.0</v>
      </c>
      <c r="Q77" s="71">
        <v>4.0</v>
      </c>
      <c r="R77" s="71">
        <v>0.0</v>
      </c>
      <c r="S77" s="71">
        <v>0.0</v>
      </c>
      <c r="T77" s="71">
        <v>1.0</v>
      </c>
      <c r="U77" s="71">
        <v>1.0</v>
      </c>
      <c r="V77" s="71">
        <v>0.0</v>
      </c>
      <c r="W77" s="71">
        <v>0.0</v>
      </c>
      <c r="X77" s="71">
        <v>0.0</v>
      </c>
      <c r="Y77" s="71">
        <v>2.0</v>
      </c>
      <c r="Z77" s="66"/>
      <c r="AA77" s="66"/>
      <c r="AB77" s="81">
        <v>0.0</v>
      </c>
      <c r="AC77" s="81">
        <v>0.0</v>
      </c>
      <c r="AD77" s="71">
        <v>2.0</v>
      </c>
      <c r="AE77" s="71">
        <v>2.0</v>
      </c>
      <c r="AF77" s="71">
        <v>0.0</v>
      </c>
      <c r="AG77" s="71">
        <v>0.0</v>
      </c>
      <c r="AH77" s="71">
        <v>0.0</v>
      </c>
      <c r="AI77" s="71">
        <v>8.0</v>
      </c>
      <c r="AJ77" s="81">
        <v>0.0</v>
      </c>
      <c r="AK77" s="81">
        <v>0.0</v>
      </c>
      <c r="AL77" s="81">
        <v>18.0</v>
      </c>
    </row>
    <row r="78">
      <c r="A78" s="25" t="s">
        <v>138</v>
      </c>
      <c r="B78" s="25">
        <v>2023.0</v>
      </c>
      <c r="C78" s="25">
        <v>10.0</v>
      </c>
      <c r="D78" s="25">
        <v>3.0</v>
      </c>
      <c r="E78" s="25">
        <v>4.0</v>
      </c>
      <c r="F78" s="25">
        <f>SUM(D78:E78)</f>
        <v>7</v>
      </c>
      <c r="G78" s="82">
        <f>PRODUCT(D78,(1/F78))</f>
        <v>0.4285714286</v>
      </c>
      <c r="H78" s="25">
        <v>1.0</v>
      </c>
      <c r="I78" s="25">
        <v>4.0</v>
      </c>
      <c r="J78" s="25">
        <v>0.0</v>
      </c>
      <c r="K78" s="25">
        <v>0.0</v>
      </c>
      <c r="L78" s="25">
        <v>0.0</v>
      </c>
      <c r="M78" s="25">
        <v>0.0</v>
      </c>
      <c r="N78" s="25">
        <v>4.0</v>
      </c>
      <c r="O78" s="25">
        <v>4.0</v>
      </c>
      <c r="P78" s="25">
        <v>2.0</v>
      </c>
      <c r="Q78" s="25">
        <v>1.0</v>
      </c>
      <c r="R78" s="25">
        <v>0.0</v>
      </c>
      <c r="S78" s="25">
        <v>2.0</v>
      </c>
      <c r="T78" s="25">
        <v>0.0</v>
      </c>
      <c r="U78" s="25">
        <v>1.0</v>
      </c>
      <c r="V78" s="25">
        <v>0.0</v>
      </c>
      <c r="W78" s="25">
        <v>4.0</v>
      </c>
      <c r="X78" s="25"/>
      <c r="Y78" s="25"/>
      <c r="Z78" s="76">
        <v>0.0</v>
      </c>
      <c r="AA78" s="76">
        <v>0.0</v>
      </c>
      <c r="AB78" s="25">
        <f>PRODUCT(W78,3)</f>
        <v>12</v>
      </c>
      <c r="AC78" s="25">
        <f>PRODUCT(U78,2)</f>
        <v>2</v>
      </c>
      <c r="AD78" s="25">
        <f>PRODUCT(V78,3)</f>
        <v>0</v>
      </c>
      <c r="AE78" s="25">
        <f>PRODUCT(T78,2)</f>
        <v>0</v>
      </c>
      <c r="AF78" s="25"/>
      <c r="AG78" s="25"/>
      <c r="AH78" s="77">
        <f t="shared" ref="AH78:AI78" si="77">PRODUCT(Z78,5)</f>
        <v>0</v>
      </c>
      <c r="AI78" s="77">
        <f t="shared" si="77"/>
        <v>0</v>
      </c>
      <c r="AJ78" s="77">
        <f>SUM(AD78,AE78)</f>
        <v>0</v>
      </c>
      <c r="AK78" s="77">
        <f>SUM(AB78,AC78)</f>
        <v>14</v>
      </c>
      <c r="AL78" s="25">
        <v>10.0</v>
      </c>
    </row>
    <row r="79">
      <c r="A79" s="81" t="s">
        <v>139</v>
      </c>
      <c r="B79" s="81" t="s">
        <v>91</v>
      </c>
      <c r="C79" s="92">
        <v>46275.0</v>
      </c>
      <c r="D79" s="81">
        <v>40.0</v>
      </c>
      <c r="E79" s="81">
        <v>33.0</v>
      </c>
      <c r="F79" s="81">
        <v>73.0</v>
      </c>
      <c r="G79" s="93">
        <v>0.547945205479452</v>
      </c>
      <c r="H79" s="81">
        <v>25.0</v>
      </c>
      <c r="I79" s="81">
        <v>30.0</v>
      </c>
      <c r="J79" s="81">
        <v>0.0</v>
      </c>
      <c r="K79" s="81">
        <v>1.0</v>
      </c>
      <c r="L79" s="81">
        <v>1.0</v>
      </c>
      <c r="M79" s="81">
        <v>1.0</v>
      </c>
      <c r="N79" s="81">
        <v>30.0</v>
      </c>
      <c r="O79" s="81">
        <v>47.0</v>
      </c>
      <c r="P79" s="81">
        <v>8.0</v>
      </c>
      <c r="Q79" s="81">
        <v>6.0</v>
      </c>
      <c r="R79" s="81">
        <v>6.0</v>
      </c>
      <c r="S79" s="81">
        <v>8.0</v>
      </c>
      <c r="T79" s="81">
        <v>5.0</v>
      </c>
      <c r="U79" s="81">
        <v>0.0</v>
      </c>
      <c r="V79" s="81">
        <v>2.0</v>
      </c>
      <c r="W79" s="81">
        <v>1.0</v>
      </c>
      <c r="X79" s="81">
        <v>11.0</v>
      </c>
      <c r="Y79" s="81">
        <v>10.0</v>
      </c>
      <c r="Z79" s="66">
        <v>0.0</v>
      </c>
      <c r="AA79" s="66">
        <v>0.0</v>
      </c>
      <c r="AB79" s="81">
        <v>0.0</v>
      </c>
      <c r="AC79" s="81">
        <v>0.0</v>
      </c>
      <c r="AD79" s="81">
        <v>10.0</v>
      </c>
      <c r="AE79" s="81">
        <v>0.0</v>
      </c>
      <c r="AF79" s="81">
        <v>10.0</v>
      </c>
      <c r="AG79" s="81">
        <v>23.0</v>
      </c>
      <c r="AH79" s="81">
        <v>40.0</v>
      </c>
      <c r="AI79" s="81">
        <v>20.0</v>
      </c>
      <c r="AJ79" s="81">
        <v>4.0</v>
      </c>
      <c r="AK79" s="81">
        <v>20.0</v>
      </c>
      <c r="AL79" s="81">
        <v>163.0</v>
      </c>
    </row>
    <row r="80">
      <c r="A80" s="25" t="s">
        <v>17</v>
      </c>
      <c r="B80" s="75" t="s">
        <v>47</v>
      </c>
      <c r="C80" s="86">
        <v>46307.0</v>
      </c>
      <c r="D80" s="25">
        <v>74.0</v>
      </c>
      <c r="E80" s="25">
        <v>30.0</v>
      </c>
      <c r="F80" s="25">
        <v>72.0</v>
      </c>
      <c r="G80" s="82">
        <v>0.7115384615384616</v>
      </c>
      <c r="H80" s="25">
        <v>47.0</v>
      </c>
      <c r="I80" s="25">
        <v>25.0</v>
      </c>
      <c r="J80" s="25">
        <v>0.0</v>
      </c>
      <c r="K80" s="25">
        <v>0.0</v>
      </c>
      <c r="L80" s="25">
        <v>0.0</v>
      </c>
      <c r="M80" s="25">
        <v>0.0</v>
      </c>
      <c r="N80" s="25">
        <v>77.0</v>
      </c>
      <c r="O80" s="25">
        <v>37.0</v>
      </c>
      <c r="P80" s="25">
        <v>12.0</v>
      </c>
      <c r="Q80" s="25">
        <v>18.0</v>
      </c>
      <c r="R80" s="25">
        <v>7.0</v>
      </c>
      <c r="S80" s="25">
        <v>18.0</v>
      </c>
      <c r="T80" s="25">
        <v>2.0</v>
      </c>
      <c r="U80" s="25">
        <v>1.0</v>
      </c>
      <c r="V80" s="25">
        <v>2.0</v>
      </c>
      <c r="W80" s="25">
        <v>1.0</v>
      </c>
      <c r="X80" s="25">
        <v>5.0</v>
      </c>
      <c r="Y80" s="25">
        <v>1.0</v>
      </c>
      <c r="Z80" s="76">
        <v>0.0</v>
      </c>
      <c r="AA80" s="76">
        <v>0.0</v>
      </c>
      <c r="AB80" s="25">
        <v>2.0</v>
      </c>
      <c r="AC80" s="25">
        <v>3.0</v>
      </c>
      <c r="AD80" s="25">
        <v>4.0</v>
      </c>
      <c r="AE80" s="25">
        <v>6.0</v>
      </c>
      <c r="AF80" s="25">
        <v>20.0</v>
      </c>
      <c r="AG80" s="25">
        <v>4.0</v>
      </c>
      <c r="AH80" s="77">
        <f t="shared" ref="AH80:AI80" si="78">PRODUCT(Z80,5)</f>
        <v>0</v>
      </c>
      <c r="AI80" s="77">
        <f t="shared" si="78"/>
        <v>0</v>
      </c>
      <c r="AJ80" s="25">
        <v>30.0</v>
      </c>
      <c r="AK80" s="25">
        <v>9.0</v>
      </c>
      <c r="AL80" s="25">
        <v>364.0</v>
      </c>
    </row>
  </sheetData>
  <customSheetViews>
    <customSheetView guid="{80C5BE8B-E8F7-4791-B446-34F9FB010BD0}" filter="1" showAutoFilter="1">
      <autoFilter ref="$A$1:$AL$80"/>
    </customSheetView>
  </customSheetViews>
  <mergeCells count="17"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1:AL1"/>
    <mergeCell ref="D2:E2"/>
    <mergeCell ref="H2:I2"/>
    <mergeCell ref="J2:K2"/>
    <mergeCell ref="L2:M2"/>
    <mergeCell ref="N2:O2"/>
    <mergeCell ref="P2:Q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7.13"/>
    <col customWidth="1" min="3" max="3" width="5.5"/>
    <col customWidth="1" min="4" max="4" width="4.25"/>
    <col customWidth="1" min="5" max="5" width="4.5"/>
    <col customWidth="1" hidden="1" min="6" max="6" width="13.25"/>
    <col customWidth="1" min="7" max="7" width="6.25"/>
    <col customWidth="1" min="8" max="9" width="3.25"/>
    <col customWidth="1" min="10" max="15" width="4.75"/>
    <col customWidth="1" min="16" max="17" width="3.88"/>
    <col customWidth="1" min="18" max="19" width="4.63"/>
    <col customWidth="1" min="20" max="21" width="4.88"/>
    <col customWidth="1" min="22" max="23" width="4.63"/>
    <col customWidth="1" min="24" max="24" width="3.88"/>
    <col customWidth="1" min="25" max="25" width="4.5"/>
    <col customWidth="1" hidden="1" min="26" max="26" width="4.38"/>
    <col customWidth="1" hidden="1" min="27" max="28" width="3.75"/>
    <col customWidth="1" hidden="1" min="29" max="29" width="3.5"/>
    <col customWidth="1" hidden="1" min="30" max="30" width="4.75"/>
    <col customWidth="1" hidden="1" min="31" max="31" width="4.5"/>
    <col customWidth="1" hidden="1" min="32" max="33" width="4.38"/>
    <col customWidth="1" hidden="1" min="34" max="35" width="7.63"/>
    <col customWidth="1" min="36" max="36" width="7.63"/>
    <col customWidth="1" min="37" max="37" width="8.63"/>
    <col customWidth="1" min="38" max="38" width="9.75"/>
  </cols>
  <sheetData>
    <row r="1">
      <c r="A1" s="100" t="s">
        <v>140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2"/>
      <c r="AG1" s="102"/>
      <c r="AH1" s="102"/>
      <c r="AI1" s="102"/>
      <c r="AJ1" s="102"/>
      <c r="AK1" s="102"/>
      <c r="AL1" s="102"/>
    </row>
    <row r="2" ht="15.75" customHeight="1">
      <c r="A2" s="57" t="s">
        <v>2</v>
      </c>
      <c r="B2" s="65" t="s">
        <v>56</v>
      </c>
      <c r="C2" s="57" t="s">
        <v>62</v>
      </c>
      <c r="D2" s="59" t="s">
        <v>34</v>
      </c>
      <c r="E2" s="60"/>
      <c r="F2" s="61"/>
      <c r="G2" s="62" t="s">
        <v>41</v>
      </c>
      <c r="H2" s="59" t="s">
        <v>48</v>
      </c>
      <c r="I2" s="60"/>
      <c r="J2" s="63" t="s">
        <v>49</v>
      </c>
      <c r="K2" s="60"/>
      <c r="L2" s="63" t="s">
        <v>63</v>
      </c>
      <c r="M2" s="60"/>
      <c r="N2" s="59" t="s">
        <v>46</v>
      </c>
      <c r="O2" s="60"/>
      <c r="P2" s="59" t="s">
        <v>64</v>
      </c>
      <c r="Q2" s="60"/>
      <c r="R2" s="59" t="s">
        <v>65</v>
      </c>
      <c r="S2" s="60"/>
      <c r="T2" s="59" t="s">
        <v>66</v>
      </c>
      <c r="U2" s="60"/>
      <c r="V2" s="59" t="s">
        <v>67</v>
      </c>
      <c r="W2" s="60"/>
      <c r="X2" s="63" t="s">
        <v>68</v>
      </c>
      <c r="Y2" s="60"/>
      <c r="Z2" s="64" t="s">
        <v>69</v>
      </c>
      <c r="AA2" s="60"/>
      <c r="AB2" s="64" t="s">
        <v>70</v>
      </c>
      <c r="AC2" s="60"/>
      <c r="AD2" s="64" t="s">
        <v>71</v>
      </c>
      <c r="AE2" s="60"/>
      <c r="AF2" s="64" t="s">
        <v>72</v>
      </c>
      <c r="AG2" s="60"/>
      <c r="AH2" s="64" t="s">
        <v>73</v>
      </c>
      <c r="AI2" s="60"/>
      <c r="AJ2" s="63" t="s">
        <v>74</v>
      </c>
      <c r="AK2" s="60"/>
      <c r="AL2" s="65" t="s">
        <v>52</v>
      </c>
    </row>
    <row r="3">
      <c r="A3" s="81" t="s">
        <v>141</v>
      </c>
      <c r="B3" s="81" t="s">
        <v>142</v>
      </c>
      <c r="C3" s="81"/>
      <c r="D3" s="81">
        <v>4.0</v>
      </c>
      <c r="E3" s="81">
        <v>8.0</v>
      </c>
      <c r="F3" s="81"/>
      <c r="G3" s="89">
        <f>PRODUCT(D3,(1/(D3+E3)))</f>
        <v>0.3333333333</v>
      </c>
      <c r="H3" s="81">
        <v>1.0</v>
      </c>
      <c r="I3" s="81"/>
      <c r="J3" s="81">
        <v>0.0</v>
      </c>
      <c r="K3" s="81"/>
      <c r="L3" s="81">
        <v>0.0</v>
      </c>
      <c r="M3" s="81"/>
      <c r="N3" s="81">
        <v>8.0</v>
      </c>
      <c r="O3" s="81"/>
      <c r="P3" s="81">
        <v>4.0</v>
      </c>
      <c r="Q3" s="81"/>
      <c r="R3" s="81">
        <v>4.0</v>
      </c>
      <c r="S3" s="81"/>
      <c r="T3" s="81">
        <v>0.0</v>
      </c>
      <c r="U3" s="81"/>
      <c r="V3" s="81">
        <v>1.0</v>
      </c>
      <c r="W3" s="81"/>
      <c r="X3" s="103"/>
      <c r="Y3" s="103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>
        <v>3.0</v>
      </c>
      <c r="AK3" s="81"/>
      <c r="AL3" s="81">
        <v>15.0</v>
      </c>
    </row>
    <row r="4">
      <c r="A4" s="25" t="s">
        <v>75</v>
      </c>
      <c r="B4" s="75" t="s">
        <v>59</v>
      </c>
      <c r="C4" s="25">
        <v>9.0</v>
      </c>
      <c r="D4" s="25">
        <v>9.0</v>
      </c>
      <c r="E4" s="25">
        <v>20.0</v>
      </c>
      <c r="F4" s="25">
        <f t="shared" ref="F4:F5" si="5">SUM(D4:E4)</f>
        <v>29</v>
      </c>
      <c r="G4" s="43">
        <f t="shared" ref="G4:G5" si="6">PRODUCT(D4, (1/F4))</f>
        <v>0.3103448276</v>
      </c>
      <c r="H4" s="25">
        <v>7.0</v>
      </c>
      <c r="I4" s="25">
        <v>19.0</v>
      </c>
      <c r="J4" s="25">
        <v>0.0</v>
      </c>
      <c r="K4" s="25">
        <v>0.0</v>
      </c>
      <c r="L4" s="25">
        <v>0.0</v>
      </c>
      <c r="M4" s="25">
        <v>0.0</v>
      </c>
      <c r="N4" s="25">
        <v>15.0</v>
      </c>
      <c r="O4" s="25">
        <v>34.0</v>
      </c>
      <c r="P4" s="25">
        <v>13.0</v>
      </c>
      <c r="Q4" s="25">
        <v>9.0</v>
      </c>
      <c r="R4" s="25">
        <v>4.0</v>
      </c>
      <c r="S4" s="25">
        <v>5.0</v>
      </c>
      <c r="T4" s="25">
        <v>2.0</v>
      </c>
      <c r="U4" s="25">
        <v>4.0</v>
      </c>
      <c r="V4" s="25">
        <v>6.0</v>
      </c>
      <c r="W4" s="25">
        <v>2.0</v>
      </c>
      <c r="X4" s="75">
        <v>0.0</v>
      </c>
      <c r="Y4" s="75">
        <v>0.0</v>
      </c>
      <c r="Z4" s="25"/>
      <c r="AA4" s="25"/>
      <c r="AB4" s="25">
        <f t="shared" ref="AB4:AC4" si="1">PRODUCT(T4,2)</f>
        <v>4</v>
      </c>
      <c r="AC4" s="25">
        <f t="shared" si="1"/>
        <v>8</v>
      </c>
      <c r="AD4" s="25">
        <f t="shared" ref="AD4:AE4" si="2">PRODUCT(V4,3)</f>
        <v>18</v>
      </c>
      <c r="AE4" s="25">
        <f t="shared" si="2"/>
        <v>6</v>
      </c>
      <c r="AF4" s="25">
        <f t="shared" ref="AF4:AG4" si="3">PRODUCT(X4,4)</f>
        <v>0</v>
      </c>
      <c r="AG4" s="25">
        <f t="shared" si="3"/>
        <v>0</v>
      </c>
      <c r="AH4" s="25"/>
      <c r="AI4" s="25"/>
      <c r="AJ4" s="25">
        <f t="shared" ref="AJ4:AK4" si="4">SUM(AB4,AD4,AF4)</f>
        <v>22</v>
      </c>
      <c r="AK4" s="25">
        <f t="shared" si="4"/>
        <v>14</v>
      </c>
      <c r="AL4" s="25">
        <v>52.0</v>
      </c>
    </row>
    <row r="5">
      <c r="A5" s="104" t="s">
        <v>75</v>
      </c>
      <c r="B5" s="104" t="s">
        <v>37</v>
      </c>
      <c r="C5" s="104">
        <v>11.0</v>
      </c>
      <c r="D5" s="104">
        <v>4.0</v>
      </c>
      <c r="E5" s="104">
        <v>4.0</v>
      </c>
      <c r="F5" s="84">
        <f t="shared" si="5"/>
        <v>8</v>
      </c>
      <c r="G5" s="84">
        <f t="shared" si="6"/>
        <v>0.5</v>
      </c>
      <c r="H5" s="104">
        <v>3.0</v>
      </c>
      <c r="I5" s="104">
        <v>4.0</v>
      </c>
      <c r="J5" s="104">
        <v>0.0</v>
      </c>
      <c r="K5" s="104">
        <v>0.0</v>
      </c>
      <c r="L5" s="104">
        <v>0.0</v>
      </c>
      <c r="M5" s="104">
        <v>0.0</v>
      </c>
      <c r="N5" s="104">
        <v>6.0</v>
      </c>
      <c r="O5" s="104">
        <v>4.0</v>
      </c>
      <c r="P5" s="104">
        <v>0.0</v>
      </c>
      <c r="Q5" s="104">
        <v>4.0</v>
      </c>
      <c r="R5" s="104">
        <v>0.0</v>
      </c>
      <c r="S5" s="104">
        <v>1.0</v>
      </c>
      <c r="T5" s="104">
        <v>0.0</v>
      </c>
      <c r="U5" s="104">
        <v>0.0</v>
      </c>
      <c r="V5" s="104">
        <v>0.0</v>
      </c>
      <c r="W5" s="104">
        <v>0.0</v>
      </c>
      <c r="X5" s="104">
        <v>1.0</v>
      </c>
      <c r="Y5" s="104">
        <v>1.0</v>
      </c>
      <c r="Z5" s="105"/>
      <c r="AA5" s="105"/>
      <c r="AB5" s="105">
        <v>0.0</v>
      </c>
      <c r="AC5" s="105">
        <v>0.0</v>
      </c>
      <c r="AD5" s="106">
        <f t="shared" ref="AD5:AE5" si="7">PRODUCT(T5,2)</f>
        <v>0</v>
      </c>
      <c r="AE5" s="106">
        <f t="shared" si="7"/>
        <v>0</v>
      </c>
      <c r="AF5" s="106">
        <f t="shared" ref="AF5:AG5" si="8">PRODUCT(V5,3)</f>
        <v>0</v>
      </c>
      <c r="AG5" s="106">
        <f t="shared" si="8"/>
        <v>0</v>
      </c>
      <c r="AH5" s="106">
        <f t="shared" ref="AH5:AI5" si="9">PRODUCT(X5,4)</f>
        <v>4</v>
      </c>
      <c r="AI5" s="106">
        <f t="shared" si="9"/>
        <v>4</v>
      </c>
      <c r="AJ5" s="107">
        <f>PRODUCT(5,AB5)</f>
        <v>0</v>
      </c>
      <c r="AK5" s="107">
        <f>PRODUCT(AC5,5)</f>
        <v>0</v>
      </c>
      <c r="AL5" s="107">
        <v>18.0</v>
      </c>
    </row>
    <row r="6">
      <c r="A6" s="75" t="s">
        <v>78</v>
      </c>
      <c r="B6" s="75" t="s">
        <v>142</v>
      </c>
      <c r="C6" s="75">
        <v>10.0</v>
      </c>
      <c r="D6" s="75">
        <v>2.0</v>
      </c>
      <c r="E6" s="75">
        <v>8.0</v>
      </c>
      <c r="F6" s="75"/>
      <c r="G6" s="87">
        <f t="shared" ref="G6:G9" si="10">PRODUCT(D6,(1/(D6+E6)))</f>
        <v>0.2</v>
      </c>
      <c r="H6" s="75">
        <v>1.0</v>
      </c>
      <c r="I6" s="75"/>
      <c r="J6" s="75">
        <v>0.0</v>
      </c>
      <c r="K6" s="75"/>
      <c r="L6" s="75">
        <v>0.0</v>
      </c>
      <c r="M6" s="75"/>
      <c r="N6" s="75">
        <v>2.0</v>
      </c>
      <c r="O6" s="75"/>
      <c r="P6" s="75">
        <v>2.0</v>
      </c>
      <c r="Q6" s="75"/>
      <c r="R6" s="75">
        <v>1.0</v>
      </c>
      <c r="S6" s="75"/>
      <c r="T6" s="75">
        <v>0.0</v>
      </c>
      <c r="U6" s="75"/>
      <c r="V6" s="75">
        <v>1.0</v>
      </c>
      <c r="W6" s="75"/>
      <c r="X6" s="108"/>
      <c r="Y6" s="108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>
        <v>3.0</v>
      </c>
      <c r="AK6" s="75"/>
      <c r="AL6" s="75">
        <v>12.0</v>
      </c>
    </row>
    <row r="7">
      <c r="A7" s="81" t="s">
        <v>78</v>
      </c>
      <c r="B7" s="81" t="s">
        <v>143</v>
      </c>
      <c r="C7" s="81">
        <v>11.0</v>
      </c>
      <c r="D7" s="81">
        <v>3.0</v>
      </c>
      <c r="E7" s="81">
        <v>11.0</v>
      </c>
      <c r="F7" s="81"/>
      <c r="G7" s="89">
        <f t="shared" si="10"/>
        <v>0.2142857143</v>
      </c>
      <c r="H7" s="81">
        <v>2.0</v>
      </c>
      <c r="I7" s="81"/>
      <c r="J7" s="81">
        <v>0.0</v>
      </c>
      <c r="K7" s="81"/>
      <c r="L7" s="81">
        <v>1.0</v>
      </c>
      <c r="M7" s="81"/>
      <c r="N7" s="81">
        <v>3.0</v>
      </c>
      <c r="O7" s="81"/>
      <c r="P7" s="81">
        <v>1.0</v>
      </c>
      <c r="Q7" s="81"/>
      <c r="R7" s="81">
        <v>2.0</v>
      </c>
      <c r="S7" s="81"/>
      <c r="T7" s="81">
        <v>0.0</v>
      </c>
      <c r="U7" s="81"/>
      <c r="V7" s="81">
        <v>1.0</v>
      </c>
      <c r="W7" s="81"/>
      <c r="X7" s="103"/>
      <c r="Y7" s="103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>
        <v>3.0</v>
      </c>
      <c r="AK7" s="81"/>
      <c r="AL7" s="81">
        <v>18.0</v>
      </c>
    </row>
    <row r="8">
      <c r="A8" s="75" t="s">
        <v>78</v>
      </c>
      <c r="B8" s="75" t="s">
        <v>144</v>
      </c>
      <c r="C8" s="75">
        <v>12.0</v>
      </c>
      <c r="D8" s="75">
        <v>2.0</v>
      </c>
      <c r="E8" s="75">
        <v>2.0</v>
      </c>
      <c r="F8" s="75"/>
      <c r="G8" s="87">
        <f t="shared" si="10"/>
        <v>0.5</v>
      </c>
      <c r="H8" s="75">
        <v>1.0</v>
      </c>
      <c r="I8" s="75"/>
      <c r="J8" s="75">
        <v>0.0</v>
      </c>
      <c r="K8" s="75"/>
      <c r="L8" s="75">
        <v>0.0</v>
      </c>
      <c r="M8" s="75"/>
      <c r="N8" s="75">
        <v>1.0</v>
      </c>
      <c r="O8" s="75"/>
      <c r="P8" s="75">
        <v>1.0</v>
      </c>
      <c r="Q8" s="75"/>
      <c r="R8" s="75">
        <v>1.0</v>
      </c>
      <c r="S8" s="75"/>
      <c r="T8" s="75">
        <v>0.0</v>
      </c>
      <c r="U8" s="75"/>
      <c r="V8" s="75">
        <v>0.0</v>
      </c>
      <c r="W8" s="75"/>
      <c r="X8" s="108"/>
      <c r="Y8" s="108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>
        <v>0.0</v>
      </c>
      <c r="AK8" s="75"/>
      <c r="AL8" s="75">
        <v>9.0</v>
      </c>
    </row>
    <row r="9">
      <c r="A9" s="81" t="s">
        <v>32</v>
      </c>
      <c r="B9" s="81" t="s">
        <v>51</v>
      </c>
      <c r="C9" s="81">
        <v>9.0</v>
      </c>
      <c r="D9" s="81">
        <v>4.0</v>
      </c>
      <c r="E9" s="81">
        <v>12.0</v>
      </c>
      <c r="F9" s="81"/>
      <c r="G9" s="89">
        <f t="shared" si="10"/>
        <v>0.25</v>
      </c>
      <c r="H9" s="81">
        <v>4.0</v>
      </c>
      <c r="I9" s="81"/>
      <c r="J9" s="81">
        <v>0.0</v>
      </c>
      <c r="K9" s="81"/>
      <c r="L9" s="81">
        <v>0.0</v>
      </c>
      <c r="M9" s="81"/>
      <c r="N9" s="81">
        <v>6.0</v>
      </c>
      <c r="O9" s="81"/>
      <c r="P9" s="81">
        <v>0.0</v>
      </c>
      <c r="Q9" s="81"/>
      <c r="R9" s="81">
        <v>3.0</v>
      </c>
      <c r="S9" s="81"/>
      <c r="T9" s="81">
        <v>3.0</v>
      </c>
      <c r="U9" s="81"/>
      <c r="V9" s="81">
        <v>1.0</v>
      </c>
      <c r="W9" s="81"/>
      <c r="X9" s="103"/>
      <c r="Y9" s="103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>
        <v>9.0</v>
      </c>
      <c r="AK9" s="81"/>
      <c r="AL9" s="81">
        <v>24.0</v>
      </c>
    </row>
    <row r="10">
      <c r="A10" s="25" t="s">
        <v>32</v>
      </c>
      <c r="B10" s="25" t="s">
        <v>58</v>
      </c>
      <c r="C10" s="25">
        <v>10.0</v>
      </c>
      <c r="D10" s="25">
        <v>6.0</v>
      </c>
      <c r="E10" s="25">
        <v>7.0</v>
      </c>
      <c r="F10" s="25">
        <f t="shared" ref="F10:F14" si="15">SUM(D10:E10)</f>
        <v>13</v>
      </c>
      <c r="G10" s="82">
        <f t="shared" ref="G10:G11" si="16">PRODUCT(D10,(1/F10))</f>
        <v>0.4615384615</v>
      </c>
      <c r="H10" s="25">
        <v>5.0</v>
      </c>
      <c r="I10" s="25">
        <v>7.0</v>
      </c>
      <c r="J10" s="25">
        <v>0.0</v>
      </c>
      <c r="K10" s="25">
        <v>0.0</v>
      </c>
      <c r="L10" s="25">
        <v>0.0</v>
      </c>
      <c r="M10" s="25">
        <v>0.0</v>
      </c>
      <c r="N10" s="25">
        <v>16.0</v>
      </c>
      <c r="O10" s="25">
        <v>2.0</v>
      </c>
      <c r="P10" s="25">
        <v>1.0</v>
      </c>
      <c r="Q10" s="25">
        <v>1.0</v>
      </c>
      <c r="R10" s="25">
        <v>1.0</v>
      </c>
      <c r="S10" s="25">
        <v>6.0</v>
      </c>
      <c r="T10" s="25">
        <v>2.0</v>
      </c>
      <c r="U10" s="25">
        <v>0.0</v>
      </c>
      <c r="V10" s="25">
        <v>2.0</v>
      </c>
      <c r="W10" s="25">
        <v>1.0</v>
      </c>
      <c r="X10" s="75">
        <v>0.0</v>
      </c>
      <c r="Y10" s="75">
        <v>0.0</v>
      </c>
      <c r="Z10" s="25"/>
      <c r="AA10" s="25"/>
      <c r="AB10" s="25">
        <f t="shared" ref="AB10:AC10" si="11">PRODUCT(T10,2)</f>
        <v>4</v>
      </c>
      <c r="AC10" s="25">
        <f t="shared" si="11"/>
        <v>0</v>
      </c>
      <c r="AD10" s="25">
        <f t="shared" ref="AD10:AE10" si="12">PRODUCT(V10,3)</f>
        <v>6</v>
      </c>
      <c r="AE10" s="25">
        <f t="shared" si="12"/>
        <v>3</v>
      </c>
      <c r="AF10" s="25">
        <f t="shared" ref="AF10:AG10" si="13">PRODUCT(X10,4)</f>
        <v>0</v>
      </c>
      <c r="AG10" s="25">
        <f t="shared" si="13"/>
        <v>0</v>
      </c>
      <c r="AH10" s="25"/>
      <c r="AI10" s="25"/>
      <c r="AJ10" s="25">
        <f t="shared" ref="AJ10:AK10" si="14">SUM(AB10,AD10,AF10)</f>
        <v>10</v>
      </c>
      <c r="AK10" s="25">
        <f t="shared" si="14"/>
        <v>3</v>
      </c>
      <c r="AL10" s="25">
        <v>32.0</v>
      </c>
    </row>
    <row r="11">
      <c r="A11" s="13" t="s">
        <v>81</v>
      </c>
      <c r="B11" s="13" t="s">
        <v>58</v>
      </c>
      <c r="C11" s="13">
        <v>9.0</v>
      </c>
      <c r="D11" s="13">
        <v>11.0</v>
      </c>
      <c r="E11" s="13">
        <v>14.0</v>
      </c>
      <c r="F11" s="13">
        <f t="shared" si="15"/>
        <v>25</v>
      </c>
      <c r="G11" s="90">
        <f t="shared" si="16"/>
        <v>0.44</v>
      </c>
      <c r="H11" s="13">
        <v>4.0</v>
      </c>
      <c r="I11" s="13">
        <v>13.0</v>
      </c>
      <c r="J11" s="13">
        <v>0.0</v>
      </c>
      <c r="K11" s="13">
        <v>0.0</v>
      </c>
      <c r="L11" s="13">
        <v>0.0</v>
      </c>
      <c r="M11" s="13">
        <v>0.0</v>
      </c>
      <c r="N11" s="13">
        <v>11.0</v>
      </c>
      <c r="O11" s="13">
        <v>20.0</v>
      </c>
      <c r="P11" s="13">
        <v>4.0</v>
      </c>
      <c r="Q11" s="13">
        <v>5.0</v>
      </c>
      <c r="R11" s="13">
        <v>2.0</v>
      </c>
      <c r="S11" s="13">
        <v>1.0</v>
      </c>
      <c r="T11" s="13">
        <v>1.0</v>
      </c>
      <c r="U11" s="13">
        <v>7.0</v>
      </c>
      <c r="V11" s="13">
        <v>2.0</v>
      </c>
      <c r="W11" s="13">
        <v>3.0</v>
      </c>
      <c r="X11" s="81">
        <v>0.0</v>
      </c>
      <c r="Y11" s="81">
        <v>0.0</v>
      </c>
      <c r="Z11" s="13"/>
      <c r="AA11" s="13"/>
      <c r="AB11" s="13">
        <f t="shared" ref="AB11:AC11" si="17">PRODUCT(T11,2)</f>
        <v>2</v>
      </c>
      <c r="AC11" s="13">
        <f t="shared" si="17"/>
        <v>14</v>
      </c>
      <c r="AD11" s="13">
        <f t="shared" ref="AD11:AE11" si="18">PRODUCT(V11,3)</f>
        <v>6</v>
      </c>
      <c r="AE11" s="13">
        <f t="shared" si="18"/>
        <v>9</v>
      </c>
      <c r="AF11" s="13">
        <f t="shared" ref="AF11:AG11" si="19">PRODUCT(X11,4)</f>
        <v>0</v>
      </c>
      <c r="AG11" s="13">
        <f t="shared" si="19"/>
        <v>0</v>
      </c>
      <c r="AH11" s="13"/>
      <c r="AI11" s="13"/>
      <c r="AJ11" s="13">
        <f t="shared" ref="AJ11:AK11" si="20">SUM(AB11,AD11,AF11)</f>
        <v>8</v>
      </c>
      <c r="AK11" s="13">
        <f t="shared" si="20"/>
        <v>23</v>
      </c>
      <c r="AL11" s="13">
        <v>31.0</v>
      </c>
    </row>
    <row r="12">
      <c r="A12" s="25" t="s">
        <v>6</v>
      </c>
      <c r="B12" s="75" t="s">
        <v>59</v>
      </c>
      <c r="C12" s="25">
        <v>9.0</v>
      </c>
      <c r="D12" s="25">
        <v>24.0</v>
      </c>
      <c r="E12" s="25">
        <v>10.0</v>
      </c>
      <c r="F12" s="25">
        <f t="shared" si="15"/>
        <v>34</v>
      </c>
      <c r="G12" s="43">
        <f t="shared" ref="G12:G14" si="25">PRODUCT(D12, (1/F12))</f>
        <v>0.7058823529</v>
      </c>
      <c r="H12" s="25">
        <v>13.0</v>
      </c>
      <c r="I12" s="25">
        <v>3.0</v>
      </c>
      <c r="J12" s="25">
        <v>0.0</v>
      </c>
      <c r="K12" s="25">
        <v>1.0</v>
      </c>
      <c r="L12" s="25">
        <v>0.0</v>
      </c>
      <c r="M12" s="25">
        <v>2.0</v>
      </c>
      <c r="N12" s="25">
        <v>23.0</v>
      </c>
      <c r="O12" s="25">
        <v>24.0</v>
      </c>
      <c r="P12" s="25">
        <v>12.0</v>
      </c>
      <c r="Q12" s="25">
        <v>9.0</v>
      </c>
      <c r="R12" s="25">
        <v>11.0</v>
      </c>
      <c r="S12" s="25">
        <v>11.0</v>
      </c>
      <c r="T12" s="25">
        <v>8.0</v>
      </c>
      <c r="U12" s="25">
        <v>10.0</v>
      </c>
      <c r="V12" s="25">
        <v>3.0</v>
      </c>
      <c r="W12" s="25">
        <v>6.0</v>
      </c>
      <c r="X12" s="75">
        <v>0.0</v>
      </c>
      <c r="Y12" s="75">
        <v>0.0</v>
      </c>
      <c r="Z12" s="25"/>
      <c r="AA12" s="25"/>
      <c r="AB12" s="25">
        <f t="shared" ref="AB12:AC12" si="21">PRODUCT(T12,2)</f>
        <v>16</v>
      </c>
      <c r="AC12" s="25">
        <f t="shared" si="21"/>
        <v>20</v>
      </c>
      <c r="AD12" s="25">
        <f t="shared" ref="AD12:AE12" si="22">PRODUCT(V12,3)</f>
        <v>9</v>
      </c>
      <c r="AE12" s="25">
        <f t="shared" si="22"/>
        <v>18</v>
      </c>
      <c r="AF12" s="25">
        <f t="shared" ref="AF12:AG12" si="23">PRODUCT(X12,4)</f>
        <v>0</v>
      </c>
      <c r="AG12" s="25">
        <f t="shared" si="23"/>
        <v>0</v>
      </c>
      <c r="AH12" s="25"/>
      <c r="AI12" s="25"/>
      <c r="AJ12" s="25">
        <f t="shared" ref="AJ12:AK12" si="24">SUM(AB12,AD12,AF12)</f>
        <v>25</v>
      </c>
      <c r="AK12" s="25">
        <f t="shared" si="24"/>
        <v>38</v>
      </c>
      <c r="AL12" s="25">
        <v>111.0</v>
      </c>
    </row>
    <row r="13">
      <c r="A13" s="13" t="s">
        <v>6</v>
      </c>
      <c r="B13" s="81" t="s">
        <v>50</v>
      </c>
      <c r="C13" s="13">
        <v>10.0</v>
      </c>
      <c r="D13" s="13">
        <v>22.0</v>
      </c>
      <c r="E13" s="13">
        <v>4.0</v>
      </c>
      <c r="F13" s="13">
        <f t="shared" si="15"/>
        <v>26</v>
      </c>
      <c r="G13" s="42">
        <f t="shared" si="25"/>
        <v>0.8461538462</v>
      </c>
      <c r="H13" s="13">
        <v>12.0</v>
      </c>
      <c r="I13" s="13">
        <v>0.0</v>
      </c>
      <c r="J13" s="13">
        <v>3.0</v>
      </c>
      <c r="K13" s="13">
        <v>1.0</v>
      </c>
      <c r="L13" s="13">
        <v>0.0</v>
      </c>
      <c r="M13" s="13">
        <v>2.0</v>
      </c>
      <c r="N13" s="13">
        <v>41.0</v>
      </c>
      <c r="O13" s="13">
        <v>11.0</v>
      </c>
      <c r="P13" s="13">
        <v>5.0</v>
      </c>
      <c r="Q13" s="13">
        <v>27.0</v>
      </c>
      <c r="R13" s="13">
        <v>4.0</v>
      </c>
      <c r="S13" s="13">
        <v>2.0</v>
      </c>
      <c r="T13" s="13">
        <v>2.0</v>
      </c>
      <c r="U13" s="13">
        <v>1.0</v>
      </c>
      <c r="V13" s="13">
        <v>0.0</v>
      </c>
      <c r="W13" s="13">
        <v>1.0</v>
      </c>
      <c r="X13" s="13">
        <v>7.0</v>
      </c>
      <c r="Y13" s="13">
        <v>2.0</v>
      </c>
      <c r="Z13" s="13"/>
      <c r="AA13" s="13"/>
      <c r="AB13" s="13">
        <f t="shared" ref="AB13:AC13" si="26">PRODUCT(T13,2)</f>
        <v>4</v>
      </c>
      <c r="AC13" s="13">
        <f t="shared" si="26"/>
        <v>2</v>
      </c>
      <c r="AD13" s="13">
        <f t="shared" ref="AD13:AE13" si="27">PRODUCT(V13,3)</f>
        <v>0</v>
      </c>
      <c r="AE13" s="13">
        <f t="shared" si="27"/>
        <v>3</v>
      </c>
      <c r="AF13" s="13">
        <f t="shared" ref="AF13:AG13" si="28">PRODUCT(X13,4)</f>
        <v>28</v>
      </c>
      <c r="AG13" s="13">
        <f t="shared" si="28"/>
        <v>8</v>
      </c>
      <c r="AH13" s="13"/>
      <c r="AI13" s="13"/>
      <c r="AJ13" s="13">
        <f t="shared" ref="AJ13:AK13" si="29">SUM(AB13,AD13,AF13)</f>
        <v>32</v>
      </c>
      <c r="AK13" s="13">
        <f t="shared" si="29"/>
        <v>13</v>
      </c>
      <c r="AL13" s="13">
        <v>95.0</v>
      </c>
    </row>
    <row r="14">
      <c r="A14" s="109" t="s">
        <v>6</v>
      </c>
      <c r="B14" s="109" t="s">
        <v>37</v>
      </c>
      <c r="C14" s="109">
        <v>11.0</v>
      </c>
      <c r="D14" s="109">
        <v>45.0</v>
      </c>
      <c r="E14" s="109">
        <v>3.0</v>
      </c>
      <c r="F14" s="110">
        <f t="shared" si="15"/>
        <v>48</v>
      </c>
      <c r="G14" s="110">
        <f t="shared" si="25"/>
        <v>0.9375</v>
      </c>
      <c r="H14" s="109">
        <v>29.0</v>
      </c>
      <c r="I14" s="109">
        <v>0.0</v>
      </c>
      <c r="J14" s="109">
        <v>3.0</v>
      </c>
      <c r="K14" s="109">
        <v>0.0</v>
      </c>
      <c r="L14" s="109">
        <v>1.0</v>
      </c>
      <c r="M14" s="109">
        <v>2.0</v>
      </c>
      <c r="N14" s="109">
        <v>83.0</v>
      </c>
      <c r="O14" s="109">
        <v>10.0</v>
      </c>
      <c r="P14" s="109">
        <v>6.0</v>
      </c>
      <c r="Q14" s="109">
        <v>44.0</v>
      </c>
      <c r="R14" s="109">
        <v>6.0</v>
      </c>
      <c r="S14" s="109">
        <v>3.0</v>
      </c>
      <c r="T14" s="109">
        <v>1.0</v>
      </c>
      <c r="U14" s="109">
        <v>2.0</v>
      </c>
      <c r="V14" s="109">
        <v>0.0</v>
      </c>
      <c r="W14" s="109">
        <v>2.0</v>
      </c>
      <c r="X14" s="109">
        <v>9.0</v>
      </c>
      <c r="Y14" s="109">
        <v>2.0</v>
      </c>
      <c r="Z14" s="111"/>
      <c r="AA14" s="111"/>
      <c r="AB14" s="111">
        <v>0.0</v>
      </c>
      <c r="AC14" s="111">
        <v>0.0</v>
      </c>
      <c r="AD14" s="112">
        <f t="shared" ref="AD14:AE14" si="30">PRODUCT(T14,2)</f>
        <v>2</v>
      </c>
      <c r="AE14" s="112">
        <f t="shared" si="30"/>
        <v>4</v>
      </c>
      <c r="AF14" s="112">
        <f t="shared" ref="AF14:AG14" si="31">PRODUCT(V14,3)</f>
        <v>0</v>
      </c>
      <c r="AG14" s="112">
        <f t="shared" si="31"/>
        <v>6</v>
      </c>
      <c r="AH14" s="112">
        <f t="shared" ref="AH14:AI14" si="32">PRODUCT(X14,4)</f>
        <v>36</v>
      </c>
      <c r="AI14" s="112">
        <f t="shared" si="32"/>
        <v>8</v>
      </c>
      <c r="AJ14" s="113">
        <f>PRODUCT(5,AB14)</f>
        <v>0</v>
      </c>
      <c r="AK14" s="113">
        <f>PRODUCT(AC14,5)</f>
        <v>0</v>
      </c>
      <c r="AL14" s="113">
        <v>202.0</v>
      </c>
    </row>
    <row r="15">
      <c r="A15" s="81" t="s">
        <v>16</v>
      </c>
      <c r="B15" s="81" t="s">
        <v>51</v>
      </c>
      <c r="C15" s="81">
        <v>9.0</v>
      </c>
      <c r="D15" s="81">
        <v>12.0</v>
      </c>
      <c r="E15" s="81">
        <v>9.0</v>
      </c>
      <c r="F15" s="81"/>
      <c r="G15" s="89">
        <f t="shared" ref="G15:G16" si="33">PRODUCT(D15,(1/(D15+E15)))</f>
        <v>0.5714285714</v>
      </c>
      <c r="H15" s="81">
        <v>7.0</v>
      </c>
      <c r="I15" s="81"/>
      <c r="J15" s="81">
        <v>0.0</v>
      </c>
      <c r="K15" s="81"/>
      <c r="L15" s="81">
        <v>2.0</v>
      </c>
      <c r="M15" s="81"/>
      <c r="N15" s="81">
        <v>22.0</v>
      </c>
      <c r="O15" s="81"/>
      <c r="P15" s="81">
        <v>21.0</v>
      </c>
      <c r="Q15" s="81"/>
      <c r="R15" s="81">
        <v>7.0</v>
      </c>
      <c r="S15" s="81"/>
      <c r="T15" s="81">
        <v>6.0</v>
      </c>
      <c r="U15" s="81"/>
      <c r="V15" s="81">
        <v>8.0</v>
      </c>
      <c r="W15" s="81"/>
      <c r="X15" s="103"/>
      <c r="Y15" s="103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>
        <v>36.0</v>
      </c>
      <c r="AK15" s="81"/>
      <c r="AL15" s="81">
        <v>62.0</v>
      </c>
    </row>
    <row r="16">
      <c r="A16" s="25" t="s">
        <v>16</v>
      </c>
      <c r="B16" s="25" t="s">
        <v>58</v>
      </c>
      <c r="C16" s="25">
        <v>10.0</v>
      </c>
      <c r="D16" s="25">
        <v>27.0</v>
      </c>
      <c r="E16" s="25">
        <v>13.0</v>
      </c>
      <c r="F16" s="75">
        <f t="shared" ref="F16:F23" si="38">SUM(D16:E16)</f>
        <v>40</v>
      </c>
      <c r="G16" s="87">
        <f t="shared" si="33"/>
        <v>0.675</v>
      </c>
      <c r="H16" s="25">
        <v>19.0</v>
      </c>
      <c r="I16" s="25">
        <v>9.0</v>
      </c>
      <c r="J16" s="25">
        <v>0.0</v>
      </c>
      <c r="K16" s="25">
        <v>0.0</v>
      </c>
      <c r="L16" s="25">
        <v>0.0</v>
      </c>
      <c r="M16" s="25">
        <v>0.0</v>
      </c>
      <c r="N16" s="25">
        <v>39.0</v>
      </c>
      <c r="O16" s="25">
        <v>18.0</v>
      </c>
      <c r="P16" s="25">
        <v>9.0</v>
      </c>
      <c r="Q16" s="25">
        <v>10.0</v>
      </c>
      <c r="R16" s="25">
        <v>2.0</v>
      </c>
      <c r="S16" s="25">
        <v>7.0</v>
      </c>
      <c r="T16" s="25">
        <v>3.0</v>
      </c>
      <c r="U16" s="25">
        <v>3.0</v>
      </c>
      <c r="V16" s="25">
        <v>3.0</v>
      </c>
      <c r="W16" s="25">
        <v>4.0</v>
      </c>
      <c r="X16" s="75">
        <v>0.0</v>
      </c>
      <c r="Y16" s="75">
        <v>0.0</v>
      </c>
      <c r="Z16" s="25"/>
      <c r="AA16" s="25"/>
      <c r="AB16" s="25">
        <f t="shared" ref="AB16:AC16" si="34">PRODUCT(T16,2)</f>
        <v>6</v>
      </c>
      <c r="AC16" s="25">
        <f t="shared" si="34"/>
        <v>6</v>
      </c>
      <c r="AD16" s="25">
        <f t="shared" ref="AD16:AE16" si="35">PRODUCT(V16,3)</f>
        <v>9</v>
      </c>
      <c r="AE16" s="25">
        <f t="shared" si="35"/>
        <v>12</v>
      </c>
      <c r="AF16" s="25">
        <f t="shared" ref="AF16:AG16" si="36">PRODUCT(X16,4)</f>
        <v>0</v>
      </c>
      <c r="AG16" s="25">
        <f t="shared" si="36"/>
        <v>0</v>
      </c>
      <c r="AH16" s="25"/>
      <c r="AI16" s="25"/>
      <c r="AJ16" s="25">
        <f t="shared" ref="AJ16:AK16" si="37">SUM(AB16,AD16,AF16)</f>
        <v>15</v>
      </c>
      <c r="AK16" s="25">
        <f t="shared" si="37"/>
        <v>18</v>
      </c>
      <c r="AL16" s="25">
        <v>123.0</v>
      </c>
    </row>
    <row r="17">
      <c r="A17" s="13" t="s">
        <v>16</v>
      </c>
      <c r="B17" s="81" t="s">
        <v>59</v>
      </c>
      <c r="C17" s="13">
        <v>11.0</v>
      </c>
      <c r="D17" s="13">
        <v>28.0</v>
      </c>
      <c r="E17" s="13">
        <v>11.0</v>
      </c>
      <c r="F17" s="13">
        <f t="shared" si="38"/>
        <v>39</v>
      </c>
      <c r="G17" s="42">
        <f t="shared" ref="G17:G18" si="43">PRODUCT(D17, (1/F17))</f>
        <v>0.7179487179</v>
      </c>
      <c r="H17" s="13">
        <v>19.0</v>
      </c>
      <c r="I17" s="13">
        <v>7.0</v>
      </c>
      <c r="J17" s="13">
        <v>0.0</v>
      </c>
      <c r="K17" s="13">
        <v>0.0</v>
      </c>
      <c r="L17" s="13">
        <v>0.0</v>
      </c>
      <c r="M17" s="13">
        <v>1.0</v>
      </c>
      <c r="N17" s="13">
        <v>31.0</v>
      </c>
      <c r="O17" s="13">
        <v>26.0</v>
      </c>
      <c r="P17" s="13">
        <v>9.0</v>
      </c>
      <c r="Q17" s="13">
        <v>6.0</v>
      </c>
      <c r="R17" s="13">
        <v>3.0</v>
      </c>
      <c r="S17" s="13">
        <v>11.0</v>
      </c>
      <c r="T17" s="13">
        <v>2.0</v>
      </c>
      <c r="U17" s="13">
        <v>3.0</v>
      </c>
      <c r="V17" s="13">
        <v>6.0</v>
      </c>
      <c r="W17" s="13">
        <v>4.0</v>
      </c>
      <c r="X17" s="81">
        <v>0.0</v>
      </c>
      <c r="Y17" s="81">
        <v>0.0</v>
      </c>
      <c r="Z17" s="13"/>
      <c r="AA17" s="13"/>
      <c r="AB17" s="13">
        <f t="shared" ref="AB17:AC17" si="39">PRODUCT(T17,2)</f>
        <v>4</v>
      </c>
      <c r="AC17" s="13">
        <f t="shared" si="39"/>
        <v>6</v>
      </c>
      <c r="AD17" s="13">
        <f t="shared" ref="AD17:AE17" si="40">PRODUCT(V17,3)</f>
        <v>18</v>
      </c>
      <c r="AE17" s="13">
        <f t="shared" si="40"/>
        <v>12</v>
      </c>
      <c r="AF17" s="13">
        <f t="shared" ref="AF17:AG17" si="41">PRODUCT(X17,4)</f>
        <v>0</v>
      </c>
      <c r="AG17" s="13">
        <f t="shared" si="41"/>
        <v>0</v>
      </c>
      <c r="AH17" s="13"/>
      <c r="AI17" s="13"/>
      <c r="AJ17" s="13">
        <f t="shared" ref="AJ17:AK17" si="42">SUM(AB17,AD17,AF17)</f>
        <v>22</v>
      </c>
      <c r="AK17" s="13">
        <f t="shared" si="42"/>
        <v>18</v>
      </c>
      <c r="AL17" s="13">
        <v>167.0</v>
      </c>
    </row>
    <row r="18">
      <c r="A18" s="25" t="s">
        <v>16</v>
      </c>
      <c r="B18" s="75" t="s">
        <v>50</v>
      </c>
      <c r="C18" s="25">
        <v>12.0</v>
      </c>
      <c r="D18" s="25">
        <v>18.0</v>
      </c>
      <c r="E18" s="25">
        <v>10.0</v>
      </c>
      <c r="F18" s="25">
        <f t="shared" si="38"/>
        <v>28</v>
      </c>
      <c r="G18" s="43">
        <f t="shared" si="43"/>
        <v>0.6428571429</v>
      </c>
      <c r="H18" s="25">
        <v>15.0</v>
      </c>
      <c r="I18" s="25">
        <v>6.0</v>
      </c>
      <c r="J18" s="25">
        <v>0.0</v>
      </c>
      <c r="K18" s="25">
        <v>0.0</v>
      </c>
      <c r="L18" s="25">
        <v>1.0</v>
      </c>
      <c r="M18" s="25">
        <v>2.0</v>
      </c>
      <c r="N18" s="25">
        <v>19.0</v>
      </c>
      <c r="O18" s="25">
        <v>14.0</v>
      </c>
      <c r="P18" s="25">
        <v>9.0</v>
      </c>
      <c r="Q18" s="25">
        <v>3.0</v>
      </c>
      <c r="R18" s="25">
        <v>2.0</v>
      </c>
      <c r="S18" s="25">
        <v>9.0</v>
      </c>
      <c r="T18" s="25">
        <v>1.0</v>
      </c>
      <c r="U18" s="25">
        <v>2.0</v>
      </c>
      <c r="V18" s="25">
        <v>2.0</v>
      </c>
      <c r="W18" s="25">
        <v>1.0</v>
      </c>
      <c r="X18" s="25">
        <v>5.0</v>
      </c>
      <c r="Y18" s="25">
        <v>2.0</v>
      </c>
      <c r="Z18" s="25"/>
      <c r="AA18" s="25"/>
      <c r="AB18" s="25">
        <f t="shared" ref="AB18:AC18" si="44">PRODUCT(T18,2)</f>
        <v>2</v>
      </c>
      <c r="AC18" s="25">
        <f t="shared" si="44"/>
        <v>4</v>
      </c>
      <c r="AD18" s="25">
        <f t="shared" ref="AD18:AE18" si="45">PRODUCT(V18,3)</f>
        <v>6</v>
      </c>
      <c r="AE18" s="25">
        <f t="shared" si="45"/>
        <v>3</v>
      </c>
      <c r="AF18" s="25">
        <f t="shared" ref="AF18:AG18" si="46">PRODUCT(X18,4)</f>
        <v>20</v>
      </c>
      <c r="AG18" s="25">
        <f t="shared" si="46"/>
        <v>8</v>
      </c>
      <c r="AH18" s="25"/>
      <c r="AI18" s="25"/>
      <c r="AJ18" s="25">
        <f t="shared" ref="AJ18:AK18" si="47">SUM(AB18,AD18,AF18)</f>
        <v>28</v>
      </c>
      <c r="AK18" s="25">
        <f t="shared" si="47"/>
        <v>15</v>
      </c>
      <c r="AL18" s="25">
        <v>100.0</v>
      </c>
    </row>
    <row r="19">
      <c r="A19" s="13" t="s">
        <v>82</v>
      </c>
      <c r="B19" s="13" t="s">
        <v>58</v>
      </c>
      <c r="C19" s="13">
        <v>10.0</v>
      </c>
      <c r="D19" s="13">
        <v>12.0</v>
      </c>
      <c r="E19" s="13">
        <v>9.0</v>
      </c>
      <c r="F19" s="13">
        <f t="shared" si="38"/>
        <v>21</v>
      </c>
      <c r="G19" s="90">
        <f>PRODUCT(D19,(1/F19))</f>
        <v>0.5714285714</v>
      </c>
      <c r="H19" s="13">
        <v>9.0</v>
      </c>
      <c r="I19" s="13">
        <v>8.0</v>
      </c>
      <c r="J19" s="13">
        <v>0.0</v>
      </c>
      <c r="K19" s="13">
        <v>0.0</v>
      </c>
      <c r="L19" s="13">
        <v>0.0</v>
      </c>
      <c r="M19" s="13">
        <v>0.0</v>
      </c>
      <c r="N19" s="13">
        <v>8.0</v>
      </c>
      <c r="O19" s="13">
        <v>13.0</v>
      </c>
      <c r="P19" s="13">
        <v>1.0</v>
      </c>
      <c r="Q19" s="13">
        <v>2.0</v>
      </c>
      <c r="R19" s="13">
        <v>3.0</v>
      </c>
      <c r="S19" s="13">
        <v>0.0</v>
      </c>
      <c r="T19" s="13">
        <v>3.0</v>
      </c>
      <c r="U19" s="13">
        <v>0.0</v>
      </c>
      <c r="V19" s="13">
        <v>2.0</v>
      </c>
      <c r="W19" s="13">
        <v>2.0</v>
      </c>
      <c r="X19" s="81">
        <v>0.0</v>
      </c>
      <c r="Y19" s="81">
        <v>0.0</v>
      </c>
      <c r="Z19" s="13"/>
      <c r="AA19" s="13"/>
      <c r="AB19" s="13">
        <f t="shared" ref="AB19:AC19" si="48">PRODUCT(T19,2)</f>
        <v>6</v>
      </c>
      <c r="AC19" s="13">
        <f t="shared" si="48"/>
        <v>0</v>
      </c>
      <c r="AD19" s="13">
        <f t="shared" ref="AD19:AE19" si="49">PRODUCT(V19,3)</f>
        <v>6</v>
      </c>
      <c r="AE19" s="13">
        <f t="shared" si="49"/>
        <v>6</v>
      </c>
      <c r="AF19" s="13">
        <f t="shared" ref="AF19:AG19" si="50">PRODUCT(X19,4)</f>
        <v>0</v>
      </c>
      <c r="AG19" s="13">
        <f t="shared" si="50"/>
        <v>0</v>
      </c>
      <c r="AH19" s="13"/>
      <c r="AI19" s="13"/>
      <c r="AJ19" s="13">
        <f t="shared" ref="AJ19:AK19" si="51">SUM(AB19,AD19,AF19)</f>
        <v>12</v>
      </c>
      <c r="AK19" s="13">
        <f t="shared" si="51"/>
        <v>6</v>
      </c>
      <c r="AL19" s="13">
        <v>62.0</v>
      </c>
    </row>
    <row r="20">
      <c r="A20" s="25" t="s">
        <v>82</v>
      </c>
      <c r="B20" s="75" t="s">
        <v>50</v>
      </c>
      <c r="C20" s="25">
        <v>12.0</v>
      </c>
      <c r="D20" s="25">
        <v>7.0</v>
      </c>
      <c r="E20" s="25">
        <v>10.0</v>
      </c>
      <c r="F20" s="25">
        <f t="shared" si="38"/>
        <v>17</v>
      </c>
      <c r="G20" s="43">
        <f t="shared" ref="G20:G23" si="56">PRODUCT(D20, (1/F20))</f>
        <v>0.4117647059</v>
      </c>
      <c r="H20" s="25">
        <v>1.0</v>
      </c>
      <c r="I20" s="25">
        <v>8.0</v>
      </c>
      <c r="J20" s="25">
        <v>0.0</v>
      </c>
      <c r="K20" s="25">
        <v>0.0</v>
      </c>
      <c r="L20" s="25">
        <v>0.0</v>
      </c>
      <c r="M20" s="25">
        <v>0.0</v>
      </c>
      <c r="N20" s="25">
        <v>3.0</v>
      </c>
      <c r="O20" s="25">
        <v>5.0</v>
      </c>
      <c r="P20" s="25">
        <v>0.0</v>
      </c>
      <c r="Q20" s="25">
        <v>1.0</v>
      </c>
      <c r="R20" s="25">
        <v>0.0</v>
      </c>
      <c r="S20" s="25">
        <v>3.0</v>
      </c>
      <c r="T20" s="25">
        <v>0.0</v>
      </c>
      <c r="U20" s="25">
        <v>0.0</v>
      </c>
      <c r="V20" s="25">
        <v>0.0</v>
      </c>
      <c r="W20" s="25">
        <v>0.0</v>
      </c>
      <c r="X20" s="25">
        <v>0.0</v>
      </c>
      <c r="Y20" s="25">
        <v>1.0</v>
      </c>
      <c r="Z20" s="25"/>
      <c r="AA20" s="25"/>
      <c r="AB20" s="25">
        <f t="shared" ref="AB20:AC20" si="52">PRODUCT(T20,2)</f>
        <v>0</v>
      </c>
      <c r="AC20" s="25">
        <f t="shared" si="52"/>
        <v>0</v>
      </c>
      <c r="AD20" s="25">
        <f t="shared" ref="AD20:AE20" si="53">PRODUCT(V20,3)</f>
        <v>0</v>
      </c>
      <c r="AE20" s="25">
        <f t="shared" si="53"/>
        <v>0</v>
      </c>
      <c r="AF20" s="25">
        <f t="shared" ref="AF20:AG20" si="54">PRODUCT(X20,4)</f>
        <v>0</v>
      </c>
      <c r="AG20" s="25">
        <f t="shared" si="54"/>
        <v>4</v>
      </c>
      <c r="AH20" s="25"/>
      <c r="AI20" s="25"/>
      <c r="AJ20" s="25">
        <f t="shared" ref="AJ20:AK20" si="55">SUM(AB20,AD20,AF20)</f>
        <v>0</v>
      </c>
      <c r="AK20" s="25">
        <f t="shared" si="55"/>
        <v>4</v>
      </c>
      <c r="AL20" s="25">
        <v>31.0</v>
      </c>
    </row>
    <row r="21">
      <c r="A21" s="13" t="s">
        <v>84</v>
      </c>
      <c r="B21" s="81" t="s">
        <v>59</v>
      </c>
      <c r="C21" s="13">
        <v>9.0</v>
      </c>
      <c r="D21" s="13">
        <v>1.0</v>
      </c>
      <c r="E21" s="13">
        <v>3.0</v>
      </c>
      <c r="F21" s="13">
        <f t="shared" si="38"/>
        <v>4</v>
      </c>
      <c r="G21" s="42">
        <f t="shared" si="56"/>
        <v>0.25</v>
      </c>
      <c r="H21" s="13">
        <v>1.0</v>
      </c>
      <c r="I21" s="13">
        <v>2.0</v>
      </c>
      <c r="J21" s="13">
        <v>0.0</v>
      </c>
      <c r="K21" s="13">
        <v>0.0</v>
      </c>
      <c r="L21" s="13">
        <v>0.0</v>
      </c>
      <c r="M21" s="13">
        <v>0.0</v>
      </c>
      <c r="N21" s="13">
        <v>6.0</v>
      </c>
      <c r="O21" s="13">
        <v>3.0</v>
      </c>
      <c r="P21" s="13">
        <v>3.0</v>
      </c>
      <c r="Q21" s="13">
        <v>3.0</v>
      </c>
      <c r="R21" s="13">
        <v>0.0</v>
      </c>
      <c r="S21" s="13">
        <v>2.0</v>
      </c>
      <c r="T21" s="13">
        <v>1.0</v>
      </c>
      <c r="U21" s="13">
        <v>0.0</v>
      </c>
      <c r="V21" s="13">
        <v>0.0</v>
      </c>
      <c r="W21" s="13">
        <v>3.0</v>
      </c>
      <c r="X21" s="81">
        <v>0.0</v>
      </c>
      <c r="Y21" s="81">
        <v>0.0</v>
      </c>
      <c r="Z21" s="13"/>
      <c r="AA21" s="13"/>
      <c r="AB21" s="13">
        <f t="shared" ref="AB21:AC21" si="57">PRODUCT(T21,2)</f>
        <v>2</v>
      </c>
      <c r="AC21" s="13">
        <f t="shared" si="57"/>
        <v>0</v>
      </c>
      <c r="AD21" s="13">
        <f t="shared" ref="AD21:AE21" si="58">PRODUCT(V21,3)</f>
        <v>0</v>
      </c>
      <c r="AE21" s="13">
        <f t="shared" si="58"/>
        <v>9</v>
      </c>
      <c r="AF21" s="13">
        <f t="shared" ref="AF21:AG21" si="59">PRODUCT(X21,4)</f>
        <v>0</v>
      </c>
      <c r="AG21" s="13">
        <f t="shared" si="59"/>
        <v>0</v>
      </c>
      <c r="AH21" s="13"/>
      <c r="AI21" s="13"/>
      <c r="AJ21" s="13">
        <f t="shared" ref="AJ21:AK21" si="60">SUM(AB21,AD21,AF21)</f>
        <v>2</v>
      </c>
      <c r="AK21" s="13">
        <f t="shared" si="60"/>
        <v>9</v>
      </c>
      <c r="AL21" s="13">
        <v>2.0</v>
      </c>
    </row>
    <row r="22">
      <c r="A22" s="25" t="s">
        <v>84</v>
      </c>
      <c r="B22" s="75" t="s">
        <v>50</v>
      </c>
      <c r="C22" s="25">
        <v>10.0</v>
      </c>
      <c r="D22" s="25">
        <v>7.0</v>
      </c>
      <c r="E22" s="25">
        <v>8.0</v>
      </c>
      <c r="F22" s="25">
        <f t="shared" si="38"/>
        <v>15</v>
      </c>
      <c r="G22" s="43">
        <f t="shared" si="56"/>
        <v>0.4666666667</v>
      </c>
      <c r="H22" s="25">
        <v>6.0</v>
      </c>
      <c r="I22" s="25">
        <v>6.0</v>
      </c>
      <c r="J22" s="25">
        <v>0.0</v>
      </c>
      <c r="K22" s="25">
        <v>0.0</v>
      </c>
      <c r="L22" s="25">
        <v>0.0</v>
      </c>
      <c r="M22" s="25">
        <v>2.0</v>
      </c>
      <c r="N22" s="25">
        <v>6.0</v>
      </c>
      <c r="O22" s="25">
        <v>9.0</v>
      </c>
      <c r="P22" s="25">
        <v>1.0</v>
      </c>
      <c r="Q22" s="25">
        <v>2.0</v>
      </c>
      <c r="R22" s="25">
        <v>2.0</v>
      </c>
      <c r="S22" s="25">
        <v>4.0</v>
      </c>
      <c r="T22" s="25">
        <v>0.0</v>
      </c>
      <c r="U22" s="25">
        <v>0.0</v>
      </c>
      <c r="V22" s="25">
        <v>0.0</v>
      </c>
      <c r="W22" s="25">
        <v>0.0</v>
      </c>
      <c r="X22" s="25">
        <v>0.0</v>
      </c>
      <c r="Y22" s="25">
        <v>3.0</v>
      </c>
      <c r="Z22" s="25"/>
      <c r="AA22" s="25"/>
      <c r="AB22" s="25">
        <f t="shared" ref="AB22:AC22" si="61">PRODUCT(T22,2)</f>
        <v>0</v>
      </c>
      <c r="AC22" s="25">
        <f t="shared" si="61"/>
        <v>0</v>
      </c>
      <c r="AD22" s="25">
        <f t="shared" ref="AD22:AE22" si="62">PRODUCT(V22,3)</f>
        <v>0</v>
      </c>
      <c r="AE22" s="25">
        <f t="shared" si="62"/>
        <v>0</v>
      </c>
      <c r="AF22" s="25">
        <f t="shared" ref="AF22:AG22" si="63">PRODUCT(X22,4)</f>
        <v>0</v>
      </c>
      <c r="AG22" s="25">
        <f t="shared" si="63"/>
        <v>12</v>
      </c>
      <c r="AH22" s="25"/>
      <c r="AI22" s="25"/>
      <c r="AJ22" s="25">
        <f t="shared" ref="AJ22:AK22" si="64">SUM(AB22,AD22,AF22)</f>
        <v>0</v>
      </c>
      <c r="AK22" s="25">
        <f t="shared" si="64"/>
        <v>12</v>
      </c>
      <c r="AL22" s="25">
        <v>43.0</v>
      </c>
    </row>
    <row r="23">
      <c r="A23" s="13" t="s">
        <v>22</v>
      </c>
      <c r="B23" s="81" t="s">
        <v>59</v>
      </c>
      <c r="C23" s="13">
        <v>12.0</v>
      </c>
      <c r="D23" s="13">
        <v>8.0</v>
      </c>
      <c r="E23" s="13">
        <v>12.0</v>
      </c>
      <c r="F23" s="13">
        <f t="shared" si="38"/>
        <v>20</v>
      </c>
      <c r="G23" s="42">
        <f t="shared" si="56"/>
        <v>0.4</v>
      </c>
      <c r="H23" s="13">
        <v>4.0</v>
      </c>
      <c r="I23" s="13">
        <v>11.0</v>
      </c>
      <c r="J23" s="13">
        <v>0.0</v>
      </c>
      <c r="K23" s="13">
        <v>1.0</v>
      </c>
      <c r="L23" s="13">
        <v>0.0</v>
      </c>
      <c r="M23" s="13">
        <v>0.0</v>
      </c>
      <c r="N23" s="13">
        <v>12.0</v>
      </c>
      <c r="O23" s="13">
        <v>19.0</v>
      </c>
      <c r="P23" s="13">
        <v>7.0</v>
      </c>
      <c r="Q23" s="13">
        <v>5.0</v>
      </c>
      <c r="R23" s="13">
        <v>2.0</v>
      </c>
      <c r="S23" s="13">
        <v>3.0</v>
      </c>
      <c r="T23" s="13">
        <v>0.0</v>
      </c>
      <c r="U23" s="13">
        <v>6.0</v>
      </c>
      <c r="V23" s="13">
        <v>3.0</v>
      </c>
      <c r="W23" s="13">
        <v>0.0</v>
      </c>
      <c r="X23" s="81">
        <v>0.0</v>
      </c>
      <c r="Y23" s="81">
        <v>0.0</v>
      </c>
      <c r="Z23" s="13"/>
      <c r="AA23" s="13"/>
      <c r="AB23" s="13">
        <f t="shared" ref="AB23:AC23" si="65">PRODUCT(T23,2)</f>
        <v>0</v>
      </c>
      <c r="AC23" s="13">
        <f t="shared" si="65"/>
        <v>12</v>
      </c>
      <c r="AD23" s="13">
        <f t="shared" ref="AD23:AE23" si="66">PRODUCT(V23,3)</f>
        <v>9</v>
      </c>
      <c r="AE23" s="13">
        <f t="shared" si="66"/>
        <v>0</v>
      </c>
      <c r="AF23" s="13">
        <f t="shared" ref="AF23:AG23" si="67">PRODUCT(X23,4)</f>
        <v>0</v>
      </c>
      <c r="AG23" s="13">
        <f t="shared" si="67"/>
        <v>0</v>
      </c>
      <c r="AH23" s="13"/>
      <c r="AI23" s="13"/>
      <c r="AJ23" s="13">
        <f t="shared" ref="AJ23:AK23" si="68">SUM(AB23,AD23,AF23)</f>
        <v>9</v>
      </c>
      <c r="AK23" s="13">
        <f t="shared" si="68"/>
        <v>12</v>
      </c>
      <c r="AL23" s="13">
        <v>42.0</v>
      </c>
    </row>
    <row r="24">
      <c r="A24" s="75" t="s">
        <v>38</v>
      </c>
      <c r="B24" s="75" t="s">
        <v>51</v>
      </c>
      <c r="C24" s="75">
        <v>9.0</v>
      </c>
      <c r="D24" s="75">
        <v>12.0</v>
      </c>
      <c r="E24" s="75">
        <v>13.0</v>
      </c>
      <c r="F24" s="75"/>
      <c r="G24" s="87">
        <f>PRODUCT(D24,(1/(D24+E24)))</f>
        <v>0.48</v>
      </c>
      <c r="H24" s="75">
        <v>10.0</v>
      </c>
      <c r="I24" s="75"/>
      <c r="J24" s="75">
        <v>0.0</v>
      </c>
      <c r="K24" s="75"/>
      <c r="L24" s="75">
        <v>1.0</v>
      </c>
      <c r="M24" s="75"/>
      <c r="N24" s="75">
        <v>19.0</v>
      </c>
      <c r="O24" s="75"/>
      <c r="P24" s="75">
        <v>14.0</v>
      </c>
      <c r="Q24" s="75"/>
      <c r="R24" s="75">
        <v>6.0</v>
      </c>
      <c r="S24" s="75"/>
      <c r="T24" s="75">
        <v>2.0</v>
      </c>
      <c r="U24" s="75"/>
      <c r="V24" s="75">
        <v>3.0</v>
      </c>
      <c r="W24" s="75"/>
      <c r="X24" s="108"/>
      <c r="Y24" s="108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>
        <v>10.0</v>
      </c>
      <c r="AK24" s="75"/>
      <c r="AL24" s="75">
        <v>70.0</v>
      </c>
    </row>
    <row r="25">
      <c r="A25" s="13" t="s">
        <v>38</v>
      </c>
      <c r="B25" s="13" t="s">
        <v>58</v>
      </c>
      <c r="C25" s="13">
        <v>10.0</v>
      </c>
      <c r="D25" s="13">
        <v>21.0</v>
      </c>
      <c r="E25" s="13">
        <v>14.0</v>
      </c>
      <c r="F25" s="13">
        <f t="shared" ref="F25:F27" si="73">SUM(D25:E25)</f>
        <v>35</v>
      </c>
      <c r="G25" s="90">
        <f>PRODUCT(D25,(1/F25))</f>
        <v>0.6</v>
      </c>
      <c r="H25" s="13">
        <v>15.0</v>
      </c>
      <c r="I25" s="13">
        <v>7.0</v>
      </c>
      <c r="J25" s="13">
        <v>0.0</v>
      </c>
      <c r="K25" s="13">
        <v>0.0</v>
      </c>
      <c r="L25" s="13">
        <v>2.0</v>
      </c>
      <c r="M25" s="13">
        <v>2.0</v>
      </c>
      <c r="N25" s="13">
        <v>30.0</v>
      </c>
      <c r="O25" s="13">
        <v>20.0</v>
      </c>
      <c r="P25" s="13">
        <v>3.0</v>
      </c>
      <c r="Q25" s="13">
        <v>10.0</v>
      </c>
      <c r="R25" s="13">
        <v>11.0</v>
      </c>
      <c r="S25" s="13">
        <v>6.0</v>
      </c>
      <c r="T25" s="13">
        <v>3.0</v>
      </c>
      <c r="U25" s="13">
        <v>3.0</v>
      </c>
      <c r="V25" s="13">
        <v>10.0</v>
      </c>
      <c r="W25" s="13">
        <v>6.0</v>
      </c>
      <c r="X25" s="81">
        <v>0.0</v>
      </c>
      <c r="Y25" s="81">
        <v>0.0</v>
      </c>
      <c r="Z25" s="13"/>
      <c r="AA25" s="13"/>
      <c r="AB25" s="13">
        <f t="shared" ref="AB25:AC25" si="69">PRODUCT(T25,2)</f>
        <v>6</v>
      </c>
      <c r="AC25" s="13">
        <f t="shared" si="69"/>
        <v>6</v>
      </c>
      <c r="AD25" s="13">
        <f t="shared" ref="AD25:AE25" si="70">PRODUCT(V25,3)</f>
        <v>30</v>
      </c>
      <c r="AE25" s="13">
        <f t="shared" si="70"/>
        <v>18</v>
      </c>
      <c r="AF25" s="13">
        <f t="shared" ref="AF25:AG25" si="71">PRODUCT(X25,4)</f>
        <v>0</v>
      </c>
      <c r="AG25" s="13">
        <f t="shared" si="71"/>
        <v>0</v>
      </c>
      <c r="AH25" s="13"/>
      <c r="AI25" s="13"/>
      <c r="AJ25" s="13">
        <f t="shared" ref="AJ25:AK25" si="72">SUM(AB25,AD25,AF25)</f>
        <v>36</v>
      </c>
      <c r="AK25" s="13">
        <f t="shared" si="72"/>
        <v>24</v>
      </c>
      <c r="AL25" s="13">
        <v>115.0</v>
      </c>
    </row>
    <row r="26">
      <c r="A26" s="25" t="s">
        <v>38</v>
      </c>
      <c r="B26" s="75" t="s">
        <v>59</v>
      </c>
      <c r="C26" s="25">
        <v>11.0</v>
      </c>
      <c r="D26" s="25">
        <v>22.0</v>
      </c>
      <c r="E26" s="25">
        <v>14.0</v>
      </c>
      <c r="F26" s="25">
        <f t="shared" si="73"/>
        <v>36</v>
      </c>
      <c r="G26" s="43">
        <f t="shared" ref="G26:G27" si="78">PRODUCT(D26, (1/F26))</f>
        <v>0.6111111111</v>
      </c>
      <c r="H26" s="25">
        <v>11.0</v>
      </c>
      <c r="I26" s="25">
        <v>10.0</v>
      </c>
      <c r="J26" s="25">
        <v>0.0</v>
      </c>
      <c r="K26" s="25">
        <v>0.0</v>
      </c>
      <c r="L26" s="25">
        <v>1.0</v>
      </c>
      <c r="M26" s="25">
        <v>2.0</v>
      </c>
      <c r="N26" s="25">
        <v>35.0</v>
      </c>
      <c r="O26" s="25">
        <v>25.0</v>
      </c>
      <c r="P26" s="25">
        <v>6.0</v>
      </c>
      <c r="Q26" s="25">
        <v>18.0</v>
      </c>
      <c r="R26" s="25">
        <v>8.0</v>
      </c>
      <c r="S26" s="25">
        <v>5.0</v>
      </c>
      <c r="T26" s="25">
        <v>5.0</v>
      </c>
      <c r="U26" s="25">
        <v>7.0</v>
      </c>
      <c r="V26" s="25">
        <v>6.0</v>
      </c>
      <c r="W26" s="25">
        <v>12.0</v>
      </c>
      <c r="X26" s="75">
        <v>0.0</v>
      </c>
      <c r="Y26" s="75">
        <v>0.0</v>
      </c>
      <c r="Z26" s="25"/>
      <c r="AA26" s="25"/>
      <c r="AB26" s="25">
        <f t="shared" ref="AB26:AC26" si="74">PRODUCT(T26,2)</f>
        <v>10</v>
      </c>
      <c r="AC26" s="25">
        <f t="shared" si="74"/>
        <v>14</v>
      </c>
      <c r="AD26" s="25">
        <f t="shared" ref="AD26:AE26" si="75">PRODUCT(V26,3)</f>
        <v>18</v>
      </c>
      <c r="AE26" s="25">
        <f t="shared" si="75"/>
        <v>36</v>
      </c>
      <c r="AF26" s="25">
        <f t="shared" ref="AF26:AG26" si="76">PRODUCT(X26,4)</f>
        <v>0</v>
      </c>
      <c r="AG26" s="25">
        <f t="shared" si="76"/>
        <v>0</v>
      </c>
      <c r="AH26" s="25"/>
      <c r="AI26" s="25"/>
      <c r="AJ26" s="25">
        <f t="shared" ref="AJ26:AK26" si="77">SUM(AB26,AD26,AF26)</f>
        <v>28</v>
      </c>
      <c r="AK26" s="25">
        <f t="shared" si="77"/>
        <v>50</v>
      </c>
      <c r="AL26" s="25">
        <v>129.0</v>
      </c>
    </row>
    <row r="27">
      <c r="A27" s="13" t="s">
        <v>38</v>
      </c>
      <c r="B27" s="81" t="s">
        <v>50</v>
      </c>
      <c r="C27" s="13">
        <v>12.0</v>
      </c>
      <c r="D27" s="13">
        <v>26.0</v>
      </c>
      <c r="E27" s="13">
        <v>18.0</v>
      </c>
      <c r="F27" s="13">
        <f t="shared" si="73"/>
        <v>44</v>
      </c>
      <c r="G27" s="42">
        <f t="shared" si="78"/>
        <v>0.5909090909</v>
      </c>
      <c r="H27" s="13">
        <v>17.0</v>
      </c>
      <c r="I27" s="13">
        <v>11.0</v>
      </c>
      <c r="J27" s="13">
        <v>1.0</v>
      </c>
      <c r="K27" s="13">
        <v>2.0</v>
      </c>
      <c r="L27" s="13">
        <v>0.0</v>
      </c>
      <c r="M27" s="13">
        <v>1.0</v>
      </c>
      <c r="N27" s="13">
        <v>36.0</v>
      </c>
      <c r="O27" s="13">
        <v>26.0</v>
      </c>
      <c r="P27" s="13">
        <v>8.0</v>
      </c>
      <c r="Q27" s="13">
        <v>11.0</v>
      </c>
      <c r="R27" s="13">
        <v>6.0</v>
      </c>
      <c r="S27" s="13">
        <v>9.0</v>
      </c>
      <c r="T27" s="13">
        <v>1.0</v>
      </c>
      <c r="U27" s="13">
        <v>4.0</v>
      </c>
      <c r="V27" s="13">
        <v>0.0</v>
      </c>
      <c r="W27" s="13">
        <v>1.0</v>
      </c>
      <c r="X27" s="13">
        <v>8.0</v>
      </c>
      <c r="Y27" s="13">
        <v>11.0</v>
      </c>
      <c r="Z27" s="13"/>
      <c r="AA27" s="13"/>
      <c r="AB27" s="13">
        <f t="shared" ref="AB27:AC27" si="79">PRODUCT(T27,2)</f>
        <v>2</v>
      </c>
      <c r="AC27" s="13">
        <f t="shared" si="79"/>
        <v>8</v>
      </c>
      <c r="AD27" s="13">
        <f t="shared" ref="AD27:AE27" si="80">PRODUCT(V27,3)</f>
        <v>0</v>
      </c>
      <c r="AE27" s="13">
        <f t="shared" si="80"/>
        <v>3</v>
      </c>
      <c r="AF27" s="13">
        <f t="shared" ref="AF27:AG27" si="81">PRODUCT(X27,4)</f>
        <v>32</v>
      </c>
      <c r="AG27" s="13">
        <f t="shared" si="81"/>
        <v>44</v>
      </c>
      <c r="AH27" s="13"/>
      <c r="AI27" s="13"/>
      <c r="AJ27" s="13">
        <f t="shared" ref="AJ27:AK27" si="82">SUM(AB27,AD27,AF27)</f>
        <v>34</v>
      </c>
      <c r="AK27" s="13">
        <f t="shared" si="82"/>
        <v>55</v>
      </c>
      <c r="AL27" s="13">
        <v>137.5</v>
      </c>
    </row>
    <row r="28">
      <c r="A28" s="75" t="s">
        <v>86</v>
      </c>
      <c r="B28" s="75" t="s">
        <v>142</v>
      </c>
      <c r="C28" s="75"/>
      <c r="D28" s="75">
        <v>2.0</v>
      </c>
      <c r="E28" s="75">
        <v>9.0</v>
      </c>
      <c r="F28" s="75"/>
      <c r="G28" s="87">
        <f t="shared" ref="G28:G29" si="83">PRODUCT(D28,(1/(D28+E28)))</f>
        <v>0.1818181818</v>
      </c>
      <c r="H28" s="75">
        <v>0.0</v>
      </c>
      <c r="I28" s="75"/>
      <c r="J28" s="75">
        <v>0.0</v>
      </c>
      <c r="K28" s="75"/>
      <c r="L28" s="75">
        <v>0.0</v>
      </c>
      <c r="M28" s="75"/>
      <c r="N28" s="75">
        <v>4.0</v>
      </c>
      <c r="O28" s="75"/>
      <c r="P28" s="75">
        <v>4.0</v>
      </c>
      <c r="Q28" s="75"/>
      <c r="R28" s="75">
        <v>4.0</v>
      </c>
      <c r="S28" s="75"/>
      <c r="T28" s="75">
        <v>1.0</v>
      </c>
      <c r="U28" s="75"/>
      <c r="V28" s="75">
        <v>0.0</v>
      </c>
      <c r="W28" s="75"/>
      <c r="X28" s="108"/>
      <c r="Y28" s="108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>
        <v>2.0</v>
      </c>
      <c r="AK28" s="75"/>
      <c r="AL28" s="75">
        <v>6.0</v>
      </c>
    </row>
    <row r="29">
      <c r="A29" s="13" t="s">
        <v>87</v>
      </c>
      <c r="B29" s="81" t="s">
        <v>143</v>
      </c>
      <c r="C29" s="81"/>
      <c r="D29" s="81">
        <v>1.0</v>
      </c>
      <c r="E29" s="81">
        <v>10.0</v>
      </c>
      <c r="F29" s="81"/>
      <c r="G29" s="89">
        <f t="shared" si="83"/>
        <v>0.09090909091</v>
      </c>
      <c r="H29" s="81">
        <v>1.0</v>
      </c>
      <c r="I29" s="81"/>
      <c r="J29" s="81">
        <v>0.0</v>
      </c>
      <c r="K29" s="81"/>
      <c r="L29" s="81">
        <v>0.0</v>
      </c>
      <c r="M29" s="81"/>
      <c r="N29" s="81">
        <v>2.0</v>
      </c>
      <c r="O29" s="81"/>
      <c r="P29" s="81">
        <v>3.0</v>
      </c>
      <c r="Q29" s="81"/>
      <c r="R29" s="81">
        <v>0.0</v>
      </c>
      <c r="S29" s="81"/>
      <c r="T29" s="81">
        <v>0.0</v>
      </c>
      <c r="U29" s="81"/>
      <c r="V29" s="81">
        <v>0.0</v>
      </c>
      <c r="W29" s="81"/>
      <c r="X29" s="103"/>
      <c r="Y29" s="103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>
        <v>0.0</v>
      </c>
      <c r="AK29" s="81"/>
      <c r="AL29" s="81">
        <v>6.0</v>
      </c>
    </row>
    <row r="30">
      <c r="A30" s="25" t="s">
        <v>89</v>
      </c>
      <c r="B30" s="75" t="s">
        <v>50</v>
      </c>
      <c r="C30" s="25">
        <v>10.0</v>
      </c>
      <c r="D30" s="25">
        <v>1.0</v>
      </c>
      <c r="E30" s="25">
        <v>3.0</v>
      </c>
      <c r="F30" s="25">
        <f>SUM(D30:E30)</f>
        <v>4</v>
      </c>
      <c r="G30" s="43">
        <f>PRODUCT(D30, (1/F30))</f>
        <v>0.25</v>
      </c>
      <c r="H30" s="25">
        <v>1.0</v>
      </c>
      <c r="I30" s="25">
        <v>3.0</v>
      </c>
      <c r="J30" s="25">
        <v>0.0</v>
      </c>
      <c r="K30" s="25">
        <v>0.0</v>
      </c>
      <c r="L30" s="25">
        <v>1.0</v>
      </c>
      <c r="M30" s="25">
        <v>3.0</v>
      </c>
      <c r="N30" s="25">
        <v>0.0</v>
      </c>
      <c r="O30" s="25">
        <v>6.0</v>
      </c>
      <c r="P30" s="25">
        <v>1.0</v>
      </c>
      <c r="Q30" s="25">
        <v>0.0</v>
      </c>
      <c r="R30" s="25">
        <v>2.0</v>
      </c>
      <c r="S30" s="25">
        <v>1.0</v>
      </c>
      <c r="T30" s="25">
        <v>0.0</v>
      </c>
      <c r="U30" s="25">
        <v>0.0</v>
      </c>
      <c r="V30" s="25">
        <v>0.0</v>
      </c>
      <c r="W30" s="25">
        <v>0.0</v>
      </c>
      <c r="X30" s="25">
        <v>1.0</v>
      </c>
      <c r="Y30" s="25">
        <v>0.0</v>
      </c>
      <c r="Z30" s="25"/>
      <c r="AA30" s="25"/>
      <c r="AB30" s="25">
        <f t="shared" ref="AB30:AC30" si="84">PRODUCT(T30,2)</f>
        <v>0</v>
      </c>
      <c r="AC30" s="25">
        <f t="shared" si="84"/>
        <v>0</v>
      </c>
      <c r="AD30" s="25">
        <f t="shared" ref="AD30:AE30" si="85">PRODUCT(V30,3)</f>
        <v>0</v>
      </c>
      <c r="AE30" s="25">
        <f t="shared" si="85"/>
        <v>0</v>
      </c>
      <c r="AF30" s="25">
        <f t="shared" ref="AF30:AG30" si="86">PRODUCT(X30,4)</f>
        <v>4</v>
      </c>
      <c r="AG30" s="25">
        <f t="shared" si="86"/>
        <v>0</v>
      </c>
      <c r="AH30" s="25"/>
      <c r="AI30" s="25"/>
      <c r="AJ30" s="25">
        <f t="shared" ref="AJ30:AK30" si="87">SUM(AB30,AD30,AF30)</f>
        <v>4</v>
      </c>
      <c r="AK30" s="25">
        <f t="shared" si="87"/>
        <v>0</v>
      </c>
      <c r="AL30" s="25">
        <v>9.0</v>
      </c>
    </row>
    <row r="31">
      <c r="A31" s="81" t="s">
        <v>44</v>
      </c>
      <c r="B31" s="81" t="s">
        <v>51</v>
      </c>
      <c r="C31" s="81">
        <v>9.0</v>
      </c>
      <c r="D31" s="81">
        <v>11.0</v>
      </c>
      <c r="E31" s="81">
        <v>9.0</v>
      </c>
      <c r="F31" s="81"/>
      <c r="G31" s="89">
        <f>PRODUCT(D31,(1/(D31+E31)))</f>
        <v>0.55</v>
      </c>
      <c r="H31" s="81">
        <v>7.0</v>
      </c>
      <c r="I31" s="81"/>
      <c r="J31" s="81">
        <v>0.0</v>
      </c>
      <c r="K31" s="81"/>
      <c r="L31" s="81">
        <v>0.0</v>
      </c>
      <c r="M31" s="81"/>
      <c r="N31" s="81">
        <v>14.0</v>
      </c>
      <c r="O31" s="81"/>
      <c r="P31" s="81">
        <v>5.0</v>
      </c>
      <c r="Q31" s="81"/>
      <c r="R31" s="81">
        <v>1.0</v>
      </c>
      <c r="S31" s="81"/>
      <c r="T31" s="81">
        <v>0.0</v>
      </c>
      <c r="U31" s="81"/>
      <c r="V31" s="81">
        <v>1.0</v>
      </c>
      <c r="W31" s="81"/>
      <c r="X31" s="103"/>
      <c r="Y31" s="103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>
        <v>3.0</v>
      </c>
      <c r="AK31" s="81"/>
      <c r="AL31" s="81">
        <v>60.0</v>
      </c>
    </row>
    <row r="32">
      <c r="A32" s="25" t="s">
        <v>44</v>
      </c>
      <c r="B32" s="25" t="s">
        <v>58</v>
      </c>
      <c r="C32" s="25">
        <v>10.0</v>
      </c>
      <c r="D32" s="25">
        <v>27.0</v>
      </c>
      <c r="E32" s="25">
        <v>11.0</v>
      </c>
      <c r="F32" s="25">
        <f t="shared" ref="F32:F38" si="92">SUM(D32:E32)</f>
        <v>38</v>
      </c>
      <c r="G32" s="82">
        <f>PRODUCT(D32,(1/F32))</f>
        <v>0.7105263158</v>
      </c>
      <c r="H32" s="25">
        <v>18.0</v>
      </c>
      <c r="I32" s="25">
        <v>8.0</v>
      </c>
      <c r="J32" s="25">
        <v>0.0</v>
      </c>
      <c r="K32" s="25">
        <v>0.0</v>
      </c>
      <c r="L32" s="25">
        <v>0.0</v>
      </c>
      <c r="M32" s="25">
        <v>2.0</v>
      </c>
      <c r="N32" s="25">
        <v>29.0</v>
      </c>
      <c r="O32" s="25">
        <v>18.0</v>
      </c>
      <c r="P32" s="25">
        <v>11.0</v>
      </c>
      <c r="Q32" s="25">
        <v>11.0</v>
      </c>
      <c r="R32" s="25">
        <v>6.0</v>
      </c>
      <c r="S32" s="25">
        <v>6.0</v>
      </c>
      <c r="T32" s="25">
        <v>6.0</v>
      </c>
      <c r="U32" s="25">
        <v>1.0</v>
      </c>
      <c r="V32" s="25">
        <v>3.0</v>
      </c>
      <c r="W32" s="25">
        <v>4.0</v>
      </c>
      <c r="X32" s="75">
        <v>0.0</v>
      </c>
      <c r="Y32" s="75">
        <v>0.0</v>
      </c>
      <c r="Z32" s="25"/>
      <c r="AA32" s="25"/>
      <c r="AB32" s="25">
        <f t="shared" ref="AB32:AC32" si="88">PRODUCT(T32,2)</f>
        <v>12</v>
      </c>
      <c r="AC32" s="25">
        <f t="shared" si="88"/>
        <v>2</v>
      </c>
      <c r="AD32" s="25">
        <f t="shared" ref="AD32:AE32" si="89">PRODUCT(V32,3)</f>
        <v>9</v>
      </c>
      <c r="AE32" s="25">
        <f t="shared" si="89"/>
        <v>12</v>
      </c>
      <c r="AF32" s="25">
        <f t="shared" ref="AF32:AG32" si="90">PRODUCT(X32,4)</f>
        <v>0</v>
      </c>
      <c r="AG32" s="25">
        <f t="shared" si="90"/>
        <v>0</v>
      </c>
      <c r="AH32" s="25"/>
      <c r="AI32" s="25"/>
      <c r="AJ32" s="25">
        <f t="shared" ref="AJ32:AK32" si="91">SUM(AB32,AD32,AF32)</f>
        <v>21</v>
      </c>
      <c r="AK32" s="25">
        <f t="shared" si="91"/>
        <v>14</v>
      </c>
      <c r="AL32" s="25">
        <v>114.0</v>
      </c>
    </row>
    <row r="33">
      <c r="A33" s="13" t="s">
        <v>44</v>
      </c>
      <c r="B33" s="81" t="s">
        <v>59</v>
      </c>
      <c r="C33" s="13">
        <v>11.0</v>
      </c>
      <c r="D33" s="13">
        <v>25.0</v>
      </c>
      <c r="E33" s="13">
        <v>12.0</v>
      </c>
      <c r="F33" s="13">
        <f t="shared" si="92"/>
        <v>37</v>
      </c>
      <c r="G33" s="42">
        <f t="shared" ref="G33:G34" si="97">PRODUCT(D33, (1/F33))</f>
        <v>0.6756756757</v>
      </c>
      <c r="H33" s="13">
        <v>15.0</v>
      </c>
      <c r="I33" s="13">
        <v>8.0</v>
      </c>
      <c r="J33" s="13">
        <v>0.0</v>
      </c>
      <c r="K33" s="13">
        <v>0.0</v>
      </c>
      <c r="L33" s="13">
        <v>0.0</v>
      </c>
      <c r="M33" s="13">
        <v>0.0</v>
      </c>
      <c r="N33" s="13">
        <v>34.0</v>
      </c>
      <c r="O33" s="13">
        <v>11.0</v>
      </c>
      <c r="P33" s="13">
        <v>7.0</v>
      </c>
      <c r="Q33" s="13">
        <v>10.0</v>
      </c>
      <c r="R33" s="13">
        <v>1.0</v>
      </c>
      <c r="S33" s="13">
        <v>7.0</v>
      </c>
      <c r="T33" s="13">
        <v>7.0</v>
      </c>
      <c r="U33" s="13">
        <v>2.0</v>
      </c>
      <c r="V33" s="13">
        <v>5.0</v>
      </c>
      <c r="W33" s="13">
        <v>3.0</v>
      </c>
      <c r="X33" s="81">
        <v>0.0</v>
      </c>
      <c r="Y33" s="81">
        <v>0.0</v>
      </c>
      <c r="Z33" s="13"/>
      <c r="AA33" s="13"/>
      <c r="AB33" s="13">
        <f t="shared" ref="AB33:AC33" si="93">PRODUCT(T33,2)</f>
        <v>14</v>
      </c>
      <c r="AC33" s="13">
        <f t="shared" si="93"/>
        <v>4</v>
      </c>
      <c r="AD33" s="13">
        <f t="shared" ref="AD33:AE33" si="94">PRODUCT(V33,3)</f>
        <v>15</v>
      </c>
      <c r="AE33" s="13">
        <f t="shared" si="94"/>
        <v>9</v>
      </c>
      <c r="AF33" s="13">
        <f t="shared" ref="AF33:AG33" si="95">PRODUCT(X33,4)</f>
        <v>0</v>
      </c>
      <c r="AG33" s="13">
        <f t="shared" si="95"/>
        <v>0</v>
      </c>
      <c r="AH33" s="13"/>
      <c r="AI33" s="13"/>
      <c r="AJ33" s="13">
        <f t="shared" ref="AJ33:AK33" si="96">SUM(AB33,AD33,AF33)</f>
        <v>29</v>
      </c>
      <c r="AK33" s="13">
        <f t="shared" si="96"/>
        <v>13</v>
      </c>
      <c r="AL33" s="13">
        <v>143.0</v>
      </c>
    </row>
    <row r="34">
      <c r="A34" s="25" t="s">
        <v>10</v>
      </c>
      <c r="B34" s="75" t="s">
        <v>50</v>
      </c>
      <c r="C34" s="25">
        <v>9.0</v>
      </c>
      <c r="D34" s="25">
        <v>9.0</v>
      </c>
      <c r="E34" s="25">
        <v>8.0</v>
      </c>
      <c r="F34" s="25">
        <f t="shared" si="92"/>
        <v>17</v>
      </c>
      <c r="G34" s="43">
        <f t="shared" si="97"/>
        <v>0.5294117647</v>
      </c>
      <c r="H34" s="25">
        <v>3.0</v>
      </c>
      <c r="I34" s="25">
        <v>8.0</v>
      </c>
      <c r="J34" s="25">
        <v>0.0</v>
      </c>
      <c r="K34" s="25">
        <v>0.0</v>
      </c>
      <c r="L34" s="25">
        <v>2.0</v>
      </c>
      <c r="M34" s="25">
        <v>1.0</v>
      </c>
      <c r="N34" s="25">
        <v>11.0</v>
      </c>
      <c r="O34" s="25">
        <v>8.0</v>
      </c>
      <c r="P34" s="25">
        <v>1.0</v>
      </c>
      <c r="Q34" s="25">
        <v>6.0</v>
      </c>
      <c r="R34" s="25">
        <v>3.0</v>
      </c>
      <c r="S34" s="25">
        <v>6.0</v>
      </c>
      <c r="T34" s="25">
        <v>2.0</v>
      </c>
      <c r="U34" s="25">
        <v>0.0</v>
      </c>
      <c r="V34" s="25">
        <v>0.0</v>
      </c>
      <c r="W34" s="25">
        <v>1.0</v>
      </c>
      <c r="X34" s="25">
        <v>2.0</v>
      </c>
      <c r="Y34" s="25">
        <v>2.0</v>
      </c>
      <c r="Z34" s="25"/>
      <c r="AA34" s="25"/>
      <c r="AB34" s="25">
        <f t="shared" ref="AB34:AC34" si="98">PRODUCT(T34,2)</f>
        <v>4</v>
      </c>
      <c r="AC34" s="25">
        <f t="shared" si="98"/>
        <v>0</v>
      </c>
      <c r="AD34" s="25">
        <f t="shared" ref="AD34:AE34" si="99">PRODUCT(V34,3)</f>
        <v>0</v>
      </c>
      <c r="AE34" s="25">
        <f t="shared" si="99"/>
        <v>3</v>
      </c>
      <c r="AF34" s="25">
        <f t="shared" ref="AF34:AG34" si="100">PRODUCT(X34,4)</f>
        <v>8</v>
      </c>
      <c r="AG34" s="25">
        <f t="shared" si="100"/>
        <v>8</v>
      </c>
      <c r="AH34" s="25"/>
      <c r="AI34" s="25"/>
      <c r="AJ34" s="25">
        <f t="shared" ref="AJ34:AK34" si="101">SUM(AB34,AD34,AF34)</f>
        <v>12</v>
      </c>
      <c r="AK34" s="25">
        <f t="shared" si="101"/>
        <v>11</v>
      </c>
      <c r="AL34" s="25">
        <v>42.0</v>
      </c>
    </row>
    <row r="35">
      <c r="A35" s="13" t="s">
        <v>90</v>
      </c>
      <c r="B35" s="13" t="s">
        <v>58</v>
      </c>
      <c r="C35" s="13">
        <v>9.0</v>
      </c>
      <c r="D35" s="13">
        <v>12.0</v>
      </c>
      <c r="E35" s="13">
        <v>18.0</v>
      </c>
      <c r="F35" s="13">
        <f t="shared" si="92"/>
        <v>30</v>
      </c>
      <c r="G35" s="90">
        <f>PRODUCT(D35,(1/F35))</f>
        <v>0.4</v>
      </c>
      <c r="H35" s="13">
        <v>9.0</v>
      </c>
      <c r="I35" s="13">
        <v>15.0</v>
      </c>
      <c r="J35" s="13">
        <v>0.0</v>
      </c>
      <c r="K35" s="13">
        <v>0.0</v>
      </c>
      <c r="L35" s="13">
        <v>0.0</v>
      </c>
      <c r="M35" s="13">
        <v>1.0</v>
      </c>
      <c r="N35" s="13">
        <v>14.0</v>
      </c>
      <c r="O35" s="13">
        <v>39.0</v>
      </c>
      <c r="P35" s="13">
        <v>18.0</v>
      </c>
      <c r="Q35" s="13">
        <v>6.0</v>
      </c>
      <c r="R35" s="13">
        <v>7.0</v>
      </c>
      <c r="S35" s="13">
        <v>7.0</v>
      </c>
      <c r="T35" s="13">
        <v>1.0</v>
      </c>
      <c r="U35" s="13">
        <v>2.0</v>
      </c>
      <c r="V35" s="13">
        <v>0.0</v>
      </c>
      <c r="W35" s="13">
        <v>3.0</v>
      </c>
      <c r="X35" s="81">
        <v>0.0</v>
      </c>
      <c r="Y35" s="81">
        <v>0.0</v>
      </c>
      <c r="Z35" s="13"/>
      <c r="AA35" s="13"/>
      <c r="AB35" s="13">
        <f t="shared" ref="AB35:AC35" si="102">PRODUCT(T35,2)</f>
        <v>2</v>
      </c>
      <c r="AC35" s="13">
        <f t="shared" si="102"/>
        <v>4</v>
      </c>
      <c r="AD35" s="13">
        <f t="shared" ref="AD35:AE35" si="103">PRODUCT(V35,3)</f>
        <v>0</v>
      </c>
      <c r="AE35" s="13">
        <f t="shared" si="103"/>
        <v>9</v>
      </c>
      <c r="AF35" s="13">
        <f t="shared" ref="AF35:AG35" si="104">PRODUCT(X35,4)</f>
        <v>0</v>
      </c>
      <c r="AG35" s="13">
        <f t="shared" si="104"/>
        <v>0</v>
      </c>
      <c r="AH35" s="13"/>
      <c r="AI35" s="13"/>
      <c r="AJ35" s="13">
        <f t="shared" ref="AJ35:AK35" si="105">SUM(AB35,AD35,AF35)</f>
        <v>2</v>
      </c>
      <c r="AK35" s="13">
        <f t="shared" si="105"/>
        <v>13</v>
      </c>
      <c r="AL35" s="13">
        <v>71.0</v>
      </c>
    </row>
    <row r="36">
      <c r="A36" s="25" t="s">
        <v>90</v>
      </c>
      <c r="B36" s="75" t="s">
        <v>59</v>
      </c>
      <c r="C36" s="25">
        <v>10.0</v>
      </c>
      <c r="D36" s="25">
        <v>9.0</v>
      </c>
      <c r="E36" s="25">
        <v>11.0</v>
      </c>
      <c r="F36" s="25">
        <f t="shared" si="92"/>
        <v>20</v>
      </c>
      <c r="G36" s="43">
        <f t="shared" ref="G36:G38" si="110">PRODUCT(D36, (1/F36))</f>
        <v>0.45</v>
      </c>
      <c r="H36" s="25">
        <v>5.0</v>
      </c>
      <c r="I36" s="25">
        <v>7.0</v>
      </c>
      <c r="J36" s="25">
        <v>0.0</v>
      </c>
      <c r="K36" s="25">
        <v>0.0</v>
      </c>
      <c r="L36" s="25">
        <v>0.0</v>
      </c>
      <c r="M36" s="25">
        <v>1.0</v>
      </c>
      <c r="N36" s="25">
        <v>12.0</v>
      </c>
      <c r="O36" s="25">
        <v>21.0</v>
      </c>
      <c r="P36" s="25">
        <v>12.0</v>
      </c>
      <c r="Q36" s="25">
        <v>4.0</v>
      </c>
      <c r="R36" s="25">
        <v>0.0</v>
      </c>
      <c r="S36" s="25" t="s">
        <v>145</v>
      </c>
      <c r="T36" s="25">
        <v>1.0</v>
      </c>
      <c r="U36" s="25">
        <v>5.0</v>
      </c>
      <c r="V36" s="25">
        <v>0.0</v>
      </c>
      <c r="W36" s="25">
        <v>4.0</v>
      </c>
      <c r="X36" s="75">
        <v>0.0</v>
      </c>
      <c r="Y36" s="75">
        <v>0.0</v>
      </c>
      <c r="Z36" s="25"/>
      <c r="AA36" s="25"/>
      <c r="AB36" s="25">
        <f t="shared" ref="AB36:AC36" si="106">PRODUCT(T36,2)</f>
        <v>2</v>
      </c>
      <c r="AC36" s="25">
        <f t="shared" si="106"/>
        <v>10</v>
      </c>
      <c r="AD36" s="25">
        <f t="shared" ref="AD36:AE36" si="107">PRODUCT(V36,3)</f>
        <v>0</v>
      </c>
      <c r="AE36" s="25">
        <f t="shared" si="107"/>
        <v>12</v>
      </c>
      <c r="AF36" s="25">
        <f t="shared" ref="AF36:AG36" si="108">PRODUCT(X36,4)</f>
        <v>0</v>
      </c>
      <c r="AG36" s="25">
        <f t="shared" si="108"/>
        <v>0</v>
      </c>
      <c r="AH36" s="25"/>
      <c r="AI36" s="25"/>
      <c r="AJ36" s="25">
        <f t="shared" ref="AJ36:AK36" si="109">SUM(AB36,AD36,AF36)</f>
        <v>2</v>
      </c>
      <c r="AK36" s="25">
        <f t="shared" si="109"/>
        <v>22</v>
      </c>
      <c r="AL36" s="25">
        <v>50.0</v>
      </c>
    </row>
    <row r="37">
      <c r="A37" s="13" t="s">
        <v>28</v>
      </c>
      <c r="B37" s="81" t="s">
        <v>50</v>
      </c>
      <c r="C37" s="13">
        <v>10.0</v>
      </c>
      <c r="D37" s="13">
        <v>27.0</v>
      </c>
      <c r="E37" s="13">
        <v>17.0</v>
      </c>
      <c r="F37" s="13">
        <f t="shared" si="92"/>
        <v>44</v>
      </c>
      <c r="G37" s="42">
        <f t="shared" si="110"/>
        <v>0.6136363636</v>
      </c>
      <c r="H37" s="13">
        <v>23.0</v>
      </c>
      <c r="I37" s="13">
        <v>16.0</v>
      </c>
      <c r="J37" s="13">
        <v>0.0</v>
      </c>
      <c r="K37" s="13">
        <v>1.0</v>
      </c>
      <c r="L37" s="13">
        <v>0.0</v>
      </c>
      <c r="M37" s="13">
        <v>1.0</v>
      </c>
      <c r="N37" s="13">
        <v>38.0</v>
      </c>
      <c r="O37" s="13">
        <v>31.0</v>
      </c>
      <c r="P37" s="13">
        <v>8.0</v>
      </c>
      <c r="Q37" s="13">
        <v>12.0</v>
      </c>
      <c r="R37" s="13">
        <v>11.0</v>
      </c>
      <c r="S37" s="13">
        <v>8.0</v>
      </c>
      <c r="T37" s="13">
        <v>1.0</v>
      </c>
      <c r="U37" s="13">
        <v>2.0</v>
      </c>
      <c r="V37" s="13">
        <v>2.0</v>
      </c>
      <c r="W37" s="13">
        <v>3.0</v>
      </c>
      <c r="X37" s="13">
        <v>10.0</v>
      </c>
      <c r="Y37" s="13">
        <v>8.0</v>
      </c>
      <c r="Z37" s="13"/>
      <c r="AA37" s="13"/>
      <c r="AB37" s="13">
        <f t="shared" ref="AB37:AC37" si="111">PRODUCT(T37,2)</f>
        <v>2</v>
      </c>
      <c r="AC37" s="13">
        <f t="shared" si="111"/>
        <v>4</v>
      </c>
      <c r="AD37" s="13">
        <f t="shared" ref="AD37:AE37" si="112">PRODUCT(V37,3)</f>
        <v>6</v>
      </c>
      <c r="AE37" s="13">
        <f t="shared" si="112"/>
        <v>9</v>
      </c>
      <c r="AF37" s="13">
        <f t="shared" ref="AF37:AG37" si="113">PRODUCT(X37,4)</f>
        <v>40</v>
      </c>
      <c r="AG37" s="13">
        <f t="shared" si="113"/>
        <v>32</v>
      </c>
      <c r="AH37" s="13"/>
      <c r="AI37" s="13"/>
      <c r="AJ37" s="13">
        <f t="shared" ref="AJ37:AK37" si="114">SUM(AB37,AD37,AF37)</f>
        <v>48</v>
      </c>
      <c r="AK37" s="13">
        <f t="shared" si="114"/>
        <v>45</v>
      </c>
      <c r="AL37" s="13">
        <v>143.0</v>
      </c>
    </row>
    <row r="38">
      <c r="A38" s="109" t="s">
        <v>28</v>
      </c>
      <c r="B38" s="109" t="s">
        <v>37</v>
      </c>
      <c r="C38" s="109">
        <v>11.0</v>
      </c>
      <c r="D38" s="109">
        <v>36.0</v>
      </c>
      <c r="E38" s="109">
        <v>12.0</v>
      </c>
      <c r="F38" s="110">
        <f t="shared" si="92"/>
        <v>48</v>
      </c>
      <c r="G38" s="110">
        <f t="shared" si="110"/>
        <v>0.75</v>
      </c>
      <c r="H38" s="109">
        <v>22.0</v>
      </c>
      <c r="I38" s="109">
        <v>9.0</v>
      </c>
      <c r="J38" s="109">
        <v>3.0</v>
      </c>
      <c r="K38" s="109">
        <v>0.0</v>
      </c>
      <c r="L38" s="109">
        <v>0.0</v>
      </c>
      <c r="M38" s="109">
        <v>3.0</v>
      </c>
      <c r="N38" s="109">
        <v>44.0</v>
      </c>
      <c r="O38" s="109">
        <v>19.0</v>
      </c>
      <c r="P38" s="109">
        <v>13.0</v>
      </c>
      <c r="Q38" s="109">
        <v>8.0</v>
      </c>
      <c r="R38" s="109">
        <v>5.0</v>
      </c>
      <c r="S38" s="109">
        <v>10.0</v>
      </c>
      <c r="T38" s="109">
        <v>2.0</v>
      </c>
      <c r="U38" s="109">
        <v>1.0</v>
      </c>
      <c r="V38" s="109">
        <v>2.0</v>
      </c>
      <c r="W38" s="109">
        <v>1.0</v>
      </c>
      <c r="X38" s="109">
        <v>14.0</v>
      </c>
      <c r="Y38" s="109">
        <v>14.0</v>
      </c>
      <c r="Z38" s="111"/>
      <c r="AA38" s="111"/>
      <c r="AB38" s="111">
        <v>0.0</v>
      </c>
      <c r="AC38" s="111">
        <v>0.0</v>
      </c>
      <c r="AD38" s="112">
        <f t="shared" ref="AD38:AE38" si="115">PRODUCT(T38,2)</f>
        <v>4</v>
      </c>
      <c r="AE38" s="112">
        <f t="shared" si="115"/>
        <v>2</v>
      </c>
      <c r="AF38" s="112">
        <f t="shared" ref="AF38:AG38" si="116">PRODUCT(V38,3)</f>
        <v>6</v>
      </c>
      <c r="AG38" s="112">
        <f t="shared" si="116"/>
        <v>3</v>
      </c>
      <c r="AH38" s="112">
        <f t="shared" ref="AH38:AI38" si="117">PRODUCT(X38,4)</f>
        <v>56</v>
      </c>
      <c r="AI38" s="112">
        <f t="shared" si="117"/>
        <v>56</v>
      </c>
      <c r="AJ38" s="113">
        <f>PRODUCT(5,AB38)</f>
        <v>0</v>
      </c>
      <c r="AK38" s="113">
        <f>PRODUCT(AC38,5)</f>
        <v>0</v>
      </c>
      <c r="AL38" s="113">
        <v>156.0</v>
      </c>
    </row>
    <row r="39">
      <c r="A39" s="81" t="s">
        <v>92</v>
      </c>
      <c r="B39" s="81" t="s">
        <v>51</v>
      </c>
      <c r="C39" s="81">
        <v>9.0</v>
      </c>
      <c r="D39" s="81">
        <v>0.0</v>
      </c>
      <c r="E39" s="81">
        <v>3.0</v>
      </c>
      <c r="F39" s="81"/>
      <c r="G39" s="89">
        <f>PRODUCT(D39,(1/(D39+E39)))</f>
        <v>0</v>
      </c>
      <c r="H39" s="81">
        <v>0.0</v>
      </c>
      <c r="I39" s="81"/>
      <c r="J39" s="81">
        <v>0.0</v>
      </c>
      <c r="K39" s="81"/>
      <c r="L39" s="81">
        <v>0.0</v>
      </c>
      <c r="M39" s="81"/>
      <c r="N39" s="81">
        <v>0.0</v>
      </c>
      <c r="O39" s="81"/>
      <c r="P39" s="81">
        <v>0.0</v>
      </c>
      <c r="Q39" s="81"/>
      <c r="R39" s="81">
        <v>1.0</v>
      </c>
      <c r="S39" s="81"/>
      <c r="T39" s="81">
        <v>0.0</v>
      </c>
      <c r="U39" s="81"/>
      <c r="V39" s="81">
        <v>0.0</v>
      </c>
      <c r="W39" s="81"/>
      <c r="X39" s="103"/>
      <c r="Y39" s="103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>
        <v>0.0</v>
      </c>
      <c r="AK39" s="81"/>
      <c r="AL39" s="81">
        <v>0.0</v>
      </c>
    </row>
    <row r="40">
      <c r="A40" s="25" t="s">
        <v>93</v>
      </c>
      <c r="B40" s="75" t="s">
        <v>59</v>
      </c>
      <c r="C40" s="25">
        <v>10.0</v>
      </c>
      <c r="D40" s="25">
        <v>7.0</v>
      </c>
      <c r="E40" s="25">
        <v>8.0</v>
      </c>
      <c r="F40" s="25">
        <f>SUM(D40:E40)</f>
        <v>15</v>
      </c>
      <c r="G40" s="43">
        <f>PRODUCT(D40, (1/F40))</f>
        <v>0.4666666667</v>
      </c>
      <c r="H40" s="25">
        <v>2.0</v>
      </c>
      <c r="I40" s="25">
        <v>8.0</v>
      </c>
      <c r="J40" s="25">
        <v>0.0</v>
      </c>
      <c r="K40" s="25">
        <v>0.0</v>
      </c>
      <c r="L40" s="25">
        <v>0.0</v>
      </c>
      <c r="M40" s="25">
        <v>0.0</v>
      </c>
      <c r="N40" s="25">
        <v>5.0</v>
      </c>
      <c r="O40" s="25">
        <v>9.0</v>
      </c>
      <c r="P40" s="25">
        <v>4.0</v>
      </c>
      <c r="Q40" s="25">
        <v>1.0</v>
      </c>
      <c r="R40" s="25">
        <v>0.0</v>
      </c>
      <c r="S40" s="25">
        <v>2.0</v>
      </c>
      <c r="T40" s="25">
        <v>1.0</v>
      </c>
      <c r="U40" s="25">
        <v>0.0</v>
      </c>
      <c r="V40" s="25">
        <v>0.0</v>
      </c>
      <c r="W40" s="25">
        <v>0.0</v>
      </c>
      <c r="X40" s="75">
        <v>0.0</v>
      </c>
      <c r="Y40" s="75">
        <v>0.0</v>
      </c>
      <c r="Z40" s="25"/>
      <c r="AA40" s="25"/>
      <c r="AB40" s="25">
        <f t="shared" ref="AB40:AC40" si="118">PRODUCT(T40,2)</f>
        <v>2</v>
      </c>
      <c r="AC40" s="25">
        <f t="shared" si="118"/>
        <v>0</v>
      </c>
      <c r="AD40" s="25">
        <f t="shared" ref="AD40:AE40" si="119">PRODUCT(V40,3)</f>
        <v>0</v>
      </c>
      <c r="AE40" s="25">
        <f t="shared" si="119"/>
        <v>0</v>
      </c>
      <c r="AF40" s="25">
        <f t="shared" ref="AF40:AG40" si="120">PRODUCT(X40,4)</f>
        <v>0</v>
      </c>
      <c r="AG40" s="25">
        <f t="shared" si="120"/>
        <v>0</v>
      </c>
      <c r="AH40" s="25"/>
      <c r="AI40" s="25"/>
      <c r="AJ40" s="25">
        <f t="shared" ref="AJ40:AK40" si="121">SUM(AB40,AD40,AF40)</f>
        <v>2</v>
      </c>
      <c r="AK40" s="25">
        <f t="shared" si="121"/>
        <v>0</v>
      </c>
      <c r="AL40" s="25">
        <v>40.0</v>
      </c>
    </row>
    <row r="41">
      <c r="A41" s="81" t="s">
        <v>26</v>
      </c>
      <c r="B41" s="81" t="s">
        <v>51</v>
      </c>
      <c r="C41" s="81">
        <v>11.0</v>
      </c>
      <c r="D41" s="81">
        <v>8.0</v>
      </c>
      <c r="E41" s="81">
        <v>12.0</v>
      </c>
      <c r="F41" s="81"/>
      <c r="G41" s="89">
        <f>PRODUCT(D41,(1/(D41+E41)))</f>
        <v>0.4</v>
      </c>
      <c r="H41" s="81">
        <v>6.0</v>
      </c>
      <c r="I41" s="81"/>
      <c r="J41" s="81">
        <v>0.0</v>
      </c>
      <c r="K41" s="81"/>
      <c r="L41" s="81">
        <v>0.0</v>
      </c>
      <c r="M41" s="81"/>
      <c r="N41" s="81">
        <v>9.0</v>
      </c>
      <c r="O41" s="81"/>
      <c r="P41" s="81">
        <v>8.0</v>
      </c>
      <c r="Q41" s="81"/>
      <c r="R41" s="81">
        <v>4.0</v>
      </c>
      <c r="S41" s="81"/>
      <c r="T41" s="81">
        <v>4.0</v>
      </c>
      <c r="U41" s="81"/>
      <c r="V41" s="81">
        <v>1.0</v>
      </c>
      <c r="W41" s="81"/>
      <c r="X41" s="103"/>
      <c r="Y41" s="103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>
        <v>11.0</v>
      </c>
      <c r="AK41" s="81"/>
      <c r="AL41" s="81">
        <v>48.0</v>
      </c>
    </row>
    <row r="42">
      <c r="A42" s="25" t="s">
        <v>26</v>
      </c>
      <c r="B42" s="25" t="s">
        <v>58</v>
      </c>
      <c r="C42" s="25">
        <v>12.0</v>
      </c>
      <c r="D42" s="25">
        <v>13.0</v>
      </c>
      <c r="E42" s="25">
        <v>5.0</v>
      </c>
      <c r="F42" s="25">
        <f t="shared" ref="F42:F43" si="126">SUM(D42:E42)</f>
        <v>18</v>
      </c>
      <c r="G42" s="82">
        <f>PRODUCT(D42,(1/F42))</f>
        <v>0.7222222222</v>
      </c>
      <c r="H42" s="25">
        <v>5.0</v>
      </c>
      <c r="I42" s="25">
        <v>5.0</v>
      </c>
      <c r="J42" s="25">
        <v>0.0</v>
      </c>
      <c r="K42" s="25">
        <v>0.0</v>
      </c>
      <c r="L42" s="25">
        <v>0.0</v>
      </c>
      <c r="M42" s="25">
        <v>0.0</v>
      </c>
      <c r="N42" s="25">
        <v>9.0</v>
      </c>
      <c r="O42" s="25">
        <v>7.0</v>
      </c>
      <c r="P42" s="25">
        <v>3.0</v>
      </c>
      <c r="Q42" s="25">
        <v>5.0</v>
      </c>
      <c r="R42" s="25">
        <v>2.0</v>
      </c>
      <c r="S42" s="25">
        <v>2.0</v>
      </c>
      <c r="T42" s="25">
        <v>1.0</v>
      </c>
      <c r="U42" s="25">
        <v>3.0</v>
      </c>
      <c r="V42" s="25">
        <v>2.0</v>
      </c>
      <c r="W42" s="25">
        <v>0.0</v>
      </c>
      <c r="X42" s="75">
        <v>0.0</v>
      </c>
      <c r="Y42" s="75">
        <v>0.0</v>
      </c>
      <c r="Z42" s="25"/>
      <c r="AA42" s="25"/>
      <c r="AB42" s="25">
        <f t="shared" ref="AB42:AC42" si="122">PRODUCT(T42,2)</f>
        <v>2</v>
      </c>
      <c r="AC42" s="25">
        <f t="shared" si="122"/>
        <v>6</v>
      </c>
      <c r="AD42" s="25">
        <f t="shared" ref="AD42:AE42" si="123">PRODUCT(V42,3)</f>
        <v>6</v>
      </c>
      <c r="AE42" s="25">
        <f t="shared" si="123"/>
        <v>0</v>
      </c>
      <c r="AF42" s="25">
        <f t="shared" ref="AF42:AG42" si="124">PRODUCT(X42,4)</f>
        <v>0</v>
      </c>
      <c r="AG42" s="25">
        <f t="shared" si="124"/>
        <v>0</v>
      </c>
      <c r="AH42" s="25"/>
      <c r="AI42" s="25"/>
      <c r="AJ42" s="25">
        <f t="shared" ref="AJ42:AK42" si="125">SUM(AB42,AD42,AF42)</f>
        <v>8</v>
      </c>
      <c r="AK42" s="25">
        <f t="shared" si="125"/>
        <v>6</v>
      </c>
      <c r="AL42" s="25">
        <v>45.0</v>
      </c>
    </row>
    <row r="43">
      <c r="A43" s="13" t="s">
        <v>94</v>
      </c>
      <c r="B43" s="81" t="s">
        <v>59</v>
      </c>
      <c r="C43" s="13">
        <v>9.0</v>
      </c>
      <c r="D43" s="13">
        <v>6.0</v>
      </c>
      <c r="E43" s="13">
        <v>8.0</v>
      </c>
      <c r="F43" s="13">
        <f t="shared" si="126"/>
        <v>14</v>
      </c>
      <c r="G43" s="42">
        <f>PRODUCT(D43, (1/F43))</f>
        <v>0.4285714286</v>
      </c>
      <c r="H43" s="13">
        <v>5.0</v>
      </c>
      <c r="I43" s="13">
        <v>8.0</v>
      </c>
      <c r="J43" s="13">
        <v>0.0</v>
      </c>
      <c r="K43" s="13">
        <v>0.0</v>
      </c>
      <c r="L43" s="13">
        <v>0.0</v>
      </c>
      <c r="M43" s="13">
        <v>0.0</v>
      </c>
      <c r="N43" s="13">
        <v>7.0</v>
      </c>
      <c r="O43" s="13">
        <v>10.0</v>
      </c>
      <c r="P43" s="13">
        <v>2.0</v>
      </c>
      <c r="Q43" s="13">
        <v>3.0</v>
      </c>
      <c r="R43" s="13">
        <v>3.0</v>
      </c>
      <c r="S43" s="13">
        <v>2.0</v>
      </c>
      <c r="T43" s="13">
        <v>1.0</v>
      </c>
      <c r="U43" s="13">
        <v>1.0</v>
      </c>
      <c r="V43" s="13">
        <v>4.0</v>
      </c>
      <c r="W43" s="13">
        <v>0.0</v>
      </c>
      <c r="X43" s="81">
        <v>0.0</v>
      </c>
      <c r="Y43" s="81">
        <v>0.0</v>
      </c>
      <c r="Z43" s="13"/>
      <c r="AA43" s="13"/>
      <c r="AB43" s="13">
        <f t="shared" ref="AB43:AC43" si="127">PRODUCT(T43,2)</f>
        <v>2</v>
      </c>
      <c r="AC43" s="13">
        <f t="shared" si="127"/>
        <v>2</v>
      </c>
      <c r="AD43" s="13">
        <f t="shared" ref="AD43:AE43" si="128">PRODUCT(V43,3)</f>
        <v>12</v>
      </c>
      <c r="AE43" s="13">
        <f t="shared" si="128"/>
        <v>0</v>
      </c>
      <c r="AF43" s="13">
        <f t="shared" ref="AF43:AG43" si="129">PRODUCT(X43,4)</f>
        <v>0</v>
      </c>
      <c r="AG43" s="13">
        <f t="shared" si="129"/>
        <v>0</v>
      </c>
      <c r="AH43" s="13"/>
      <c r="AI43" s="13"/>
      <c r="AJ43" s="13">
        <f t="shared" ref="AJ43:AK43" si="130">SUM(AB43,AD43,AF43)</f>
        <v>14</v>
      </c>
      <c r="AK43" s="13">
        <f t="shared" si="130"/>
        <v>2</v>
      </c>
      <c r="AL43" s="13">
        <v>47.0</v>
      </c>
    </row>
    <row r="44">
      <c r="A44" s="75" t="s">
        <v>95</v>
      </c>
      <c r="B44" s="75" t="s">
        <v>142</v>
      </c>
      <c r="C44" s="75"/>
      <c r="D44" s="75">
        <v>6.0</v>
      </c>
      <c r="E44" s="75">
        <v>9.0</v>
      </c>
      <c r="F44" s="75"/>
      <c r="G44" s="87">
        <f t="shared" ref="G44:G47" si="131">PRODUCT(D44,(1/(D44+E44)))</f>
        <v>0.4</v>
      </c>
      <c r="H44" s="75">
        <v>4.0</v>
      </c>
      <c r="I44" s="75"/>
      <c r="J44" s="75">
        <v>0.0</v>
      </c>
      <c r="K44" s="75"/>
      <c r="L44" s="75">
        <v>0.0</v>
      </c>
      <c r="M44" s="75"/>
      <c r="N44" s="75">
        <v>12.0</v>
      </c>
      <c r="O44" s="75"/>
      <c r="P44" s="75">
        <v>6.0</v>
      </c>
      <c r="Q44" s="75"/>
      <c r="R44" s="75">
        <v>5.0</v>
      </c>
      <c r="S44" s="75"/>
      <c r="T44" s="75">
        <v>1.0</v>
      </c>
      <c r="U44" s="75"/>
      <c r="V44" s="75">
        <v>0.0</v>
      </c>
      <c r="W44" s="75"/>
      <c r="X44" s="108"/>
      <c r="Y44" s="108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>
        <v>2.0</v>
      </c>
      <c r="AK44" s="75"/>
      <c r="AL44" s="75">
        <v>34.0</v>
      </c>
    </row>
    <row r="45">
      <c r="A45" s="81" t="s">
        <v>95</v>
      </c>
      <c r="B45" s="81" t="s">
        <v>143</v>
      </c>
      <c r="C45" s="81"/>
      <c r="D45" s="81">
        <v>6.0</v>
      </c>
      <c r="E45" s="81">
        <v>5.0</v>
      </c>
      <c r="F45" s="81"/>
      <c r="G45" s="89">
        <f t="shared" si="131"/>
        <v>0.5454545455</v>
      </c>
      <c r="H45" s="81">
        <v>2.0</v>
      </c>
      <c r="I45" s="81"/>
      <c r="J45" s="81">
        <v>0.0</v>
      </c>
      <c r="K45" s="81"/>
      <c r="L45" s="81">
        <v>0.0</v>
      </c>
      <c r="M45" s="81"/>
      <c r="N45" s="81">
        <v>13.0</v>
      </c>
      <c r="O45" s="81"/>
      <c r="P45" s="81">
        <v>2.0</v>
      </c>
      <c r="Q45" s="81"/>
      <c r="R45" s="81">
        <v>1.0</v>
      </c>
      <c r="S45" s="81"/>
      <c r="T45" s="81">
        <v>2.0</v>
      </c>
      <c r="U45" s="81"/>
      <c r="V45" s="81">
        <v>2.0</v>
      </c>
      <c r="W45" s="81"/>
      <c r="X45" s="103"/>
      <c r="Y45" s="103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>
        <v>10.0</v>
      </c>
      <c r="AK45" s="81"/>
      <c r="AL45" s="81">
        <v>27.0</v>
      </c>
    </row>
    <row r="46">
      <c r="A46" s="75" t="s">
        <v>96</v>
      </c>
      <c r="B46" s="75" t="s">
        <v>142</v>
      </c>
      <c r="C46" s="75"/>
      <c r="D46" s="75">
        <v>0.0</v>
      </c>
      <c r="E46" s="75">
        <v>3.0</v>
      </c>
      <c r="F46" s="75"/>
      <c r="G46" s="87">
        <f t="shared" si="131"/>
        <v>0</v>
      </c>
      <c r="H46" s="75">
        <v>0.0</v>
      </c>
      <c r="I46" s="75"/>
      <c r="J46" s="75">
        <v>0.0</v>
      </c>
      <c r="K46" s="75"/>
      <c r="L46" s="75">
        <v>0.0</v>
      </c>
      <c r="M46" s="75"/>
      <c r="N46" s="75">
        <v>1.0</v>
      </c>
      <c r="O46" s="75"/>
      <c r="P46" s="75">
        <v>0.0</v>
      </c>
      <c r="Q46" s="75"/>
      <c r="R46" s="75">
        <v>0.0</v>
      </c>
      <c r="S46" s="75"/>
      <c r="T46" s="75">
        <v>0.0</v>
      </c>
      <c r="U46" s="75"/>
      <c r="V46" s="75">
        <v>0.0</v>
      </c>
      <c r="W46" s="75"/>
      <c r="X46" s="108"/>
      <c r="Y46" s="108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>
        <v>0.0</v>
      </c>
      <c r="AK46" s="75"/>
      <c r="AL46" s="75">
        <v>0.0</v>
      </c>
    </row>
    <row r="47">
      <c r="A47" s="81" t="s">
        <v>96</v>
      </c>
      <c r="B47" s="81" t="s">
        <v>143</v>
      </c>
      <c r="C47" s="81"/>
      <c r="D47" s="81">
        <v>0.0</v>
      </c>
      <c r="E47" s="81">
        <v>4.0</v>
      </c>
      <c r="F47" s="81"/>
      <c r="G47" s="89">
        <f t="shared" si="131"/>
        <v>0</v>
      </c>
      <c r="H47" s="81">
        <v>0.0</v>
      </c>
      <c r="I47" s="81"/>
      <c r="J47" s="81">
        <v>0.0</v>
      </c>
      <c r="K47" s="81"/>
      <c r="L47" s="81">
        <v>0.0</v>
      </c>
      <c r="M47" s="81"/>
      <c r="N47" s="81">
        <v>1.0</v>
      </c>
      <c r="O47" s="81"/>
      <c r="P47" s="81">
        <v>0.0</v>
      </c>
      <c r="Q47" s="81"/>
      <c r="R47" s="81">
        <v>0.0</v>
      </c>
      <c r="S47" s="81"/>
      <c r="T47" s="81">
        <v>0.0</v>
      </c>
      <c r="U47" s="81"/>
      <c r="V47" s="81">
        <v>1.0</v>
      </c>
      <c r="W47" s="81"/>
      <c r="X47" s="103"/>
      <c r="Y47" s="103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>
        <v>3.0</v>
      </c>
      <c r="AK47" s="81"/>
      <c r="AL47" s="81">
        <v>0.0</v>
      </c>
    </row>
    <row r="48">
      <c r="A48" s="25" t="s">
        <v>8</v>
      </c>
      <c r="B48" s="75" t="s">
        <v>50</v>
      </c>
      <c r="C48" s="25">
        <v>12.0</v>
      </c>
      <c r="D48" s="25">
        <v>6.0</v>
      </c>
      <c r="E48" s="25">
        <v>4.0</v>
      </c>
      <c r="F48" s="25">
        <f t="shared" ref="F48:F50" si="136">SUM(D48:E48)</f>
        <v>10</v>
      </c>
      <c r="G48" s="43">
        <f t="shared" ref="G48:G50" si="137">PRODUCT(D48, (1/F48))</f>
        <v>0.6</v>
      </c>
      <c r="H48" s="25">
        <v>3.0</v>
      </c>
      <c r="I48" s="25">
        <v>2.0</v>
      </c>
      <c r="J48" s="25">
        <v>0.0</v>
      </c>
      <c r="K48" s="25">
        <v>0.0</v>
      </c>
      <c r="L48" s="25">
        <v>0.0</v>
      </c>
      <c r="M48" s="25">
        <v>5.0</v>
      </c>
      <c r="N48" s="25">
        <v>7.0</v>
      </c>
      <c r="O48" s="25">
        <v>9.0</v>
      </c>
      <c r="P48" s="25">
        <v>6.0</v>
      </c>
      <c r="Q48" s="25">
        <v>3.0</v>
      </c>
      <c r="R48" s="25">
        <v>0.0</v>
      </c>
      <c r="S48" s="25">
        <v>1.0</v>
      </c>
      <c r="T48" s="25">
        <v>0.0</v>
      </c>
      <c r="U48" s="25">
        <v>1.0</v>
      </c>
      <c r="V48" s="25">
        <v>0.0</v>
      </c>
      <c r="W48" s="25">
        <v>0.0</v>
      </c>
      <c r="X48" s="25">
        <v>0.0</v>
      </c>
      <c r="Y48" s="25">
        <v>0.0</v>
      </c>
      <c r="Z48" s="25"/>
      <c r="AA48" s="25"/>
      <c r="AB48" s="25">
        <f t="shared" ref="AB48:AC48" si="132">PRODUCT(T48,2)</f>
        <v>0</v>
      </c>
      <c r="AC48" s="25">
        <f t="shared" si="132"/>
        <v>2</v>
      </c>
      <c r="AD48" s="25">
        <f t="shared" ref="AD48:AE48" si="133">PRODUCT(V48,3)</f>
        <v>0</v>
      </c>
      <c r="AE48" s="25">
        <f t="shared" si="133"/>
        <v>0</v>
      </c>
      <c r="AF48" s="25">
        <f t="shared" ref="AF48:AG48" si="134">PRODUCT(X48,4)</f>
        <v>0</v>
      </c>
      <c r="AG48" s="25">
        <f t="shared" si="134"/>
        <v>0</v>
      </c>
      <c r="AH48" s="25"/>
      <c r="AI48" s="25"/>
      <c r="AJ48" s="25">
        <f t="shared" ref="AJ48:AK48" si="135">SUM(AB48,AD48,AF48)</f>
        <v>0</v>
      </c>
      <c r="AK48" s="25">
        <f t="shared" si="135"/>
        <v>2</v>
      </c>
      <c r="AL48" s="25">
        <v>35.0</v>
      </c>
    </row>
    <row r="49">
      <c r="A49" s="13" t="s">
        <v>11</v>
      </c>
      <c r="B49" s="81" t="s">
        <v>50</v>
      </c>
      <c r="C49" s="13">
        <v>10.0</v>
      </c>
      <c r="D49" s="13">
        <v>12.0</v>
      </c>
      <c r="E49" s="13">
        <v>17.0</v>
      </c>
      <c r="F49" s="13">
        <f t="shared" si="136"/>
        <v>29</v>
      </c>
      <c r="G49" s="42">
        <f t="shared" si="137"/>
        <v>0.4137931034</v>
      </c>
      <c r="H49" s="13">
        <v>8.0</v>
      </c>
      <c r="I49" s="13">
        <v>16.0</v>
      </c>
      <c r="J49" s="13">
        <v>0.0</v>
      </c>
      <c r="K49" s="13">
        <v>0.0</v>
      </c>
      <c r="L49" s="13">
        <v>0.0</v>
      </c>
      <c r="M49" s="13">
        <v>0.0</v>
      </c>
      <c r="N49" s="13">
        <v>11.0</v>
      </c>
      <c r="O49" s="13">
        <v>26.0</v>
      </c>
      <c r="P49" s="13">
        <v>5.0</v>
      </c>
      <c r="Q49" s="13">
        <v>7.0</v>
      </c>
      <c r="R49" s="13">
        <v>5.0</v>
      </c>
      <c r="S49" s="13">
        <v>4.0</v>
      </c>
      <c r="T49" s="13">
        <v>1.0</v>
      </c>
      <c r="U49" s="13">
        <v>1.0</v>
      </c>
      <c r="V49" s="13">
        <v>0.0</v>
      </c>
      <c r="W49" s="13">
        <v>1.0</v>
      </c>
      <c r="X49" s="13">
        <v>0.0</v>
      </c>
      <c r="Y49" s="13">
        <v>5.0</v>
      </c>
      <c r="Z49" s="13"/>
      <c r="AA49" s="13"/>
      <c r="AB49" s="13">
        <f t="shared" ref="AB49:AC49" si="138">PRODUCT(T49,2)</f>
        <v>2</v>
      </c>
      <c r="AC49" s="13">
        <f t="shared" si="138"/>
        <v>2</v>
      </c>
      <c r="AD49" s="13">
        <f t="shared" ref="AD49:AE49" si="139">PRODUCT(V49,3)</f>
        <v>0</v>
      </c>
      <c r="AE49" s="13">
        <f t="shared" si="139"/>
        <v>3</v>
      </c>
      <c r="AF49" s="13">
        <f t="shared" ref="AF49:AG49" si="140">PRODUCT(X49,4)</f>
        <v>0</v>
      </c>
      <c r="AG49" s="13">
        <f t="shared" si="140"/>
        <v>20</v>
      </c>
      <c r="AH49" s="13"/>
      <c r="AI49" s="13"/>
      <c r="AJ49" s="13">
        <f t="shared" ref="AJ49:AK49" si="141">SUM(AB49,AD49,AF49)</f>
        <v>2</v>
      </c>
      <c r="AK49" s="13">
        <f t="shared" si="141"/>
        <v>25</v>
      </c>
      <c r="AL49" s="13">
        <v>58.0</v>
      </c>
    </row>
    <row r="50">
      <c r="A50" s="109" t="s">
        <v>11</v>
      </c>
      <c r="B50" s="109" t="s">
        <v>37</v>
      </c>
      <c r="C50" s="109">
        <v>11.0</v>
      </c>
      <c r="D50" s="109">
        <v>24.0</v>
      </c>
      <c r="E50" s="109">
        <v>19.0</v>
      </c>
      <c r="F50" s="110">
        <f t="shared" si="136"/>
        <v>43</v>
      </c>
      <c r="G50" s="110">
        <f t="shared" si="137"/>
        <v>0.5581395349</v>
      </c>
      <c r="H50" s="109">
        <v>16.0</v>
      </c>
      <c r="I50" s="109">
        <v>14.0</v>
      </c>
      <c r="J50" s="109">
        <v>0.0</v>
      </c>
      <c r="K50" s="109">
        <v>1.0</v>
      </c>
      <c r="L50" s="109">
        <v>0.0</v>
      </c>
      <c r="M50" s="109">
        <v>1.0</v>
      </c>
      <c r="N50" s="109">
        <v>22.0</v>
      </c>
      <c r="O50" s="109">
        <v>30.0</v>
      </c>
      <c r="P50" s="109">
        <v>11.0</v>
      </c>
      <c r="Q50" s="109">
        <v>9.0</v>
      </c>
      <c r="R50" s="109">
        <v>4.0</v>
      </c>
      <c r="S50" s="109">
        <v>13.0</v>
      </c>
      <c r="T50" s="109">
        <v>3.0</v>
      </c>
      <c r="U50" s="109">
        <v>1.0</v>
      </c>
      <c r="V50" s="109">
        <v>1.0</v>
      </c>
      <c r="W50" s="109">
        <v>2.0</v>
      </c>
      <c r="X50" s="109">
        <v>3.0</v>
      </c>
      <c r="Y50" s="109">
        <v>7.0</v>
      </c>
      <c r="Z50" s="111"/>
      <c r="AA50" s="111"/>
      <c r="AB50" s="111">
        <v>0.0</v>
      </c>
      <c r="AC50" s="111">
        <v>0.0</v>
      </c>
      <c r="AD50" s="112">
        <f t="shared" ref="AD50:AE50" si="142">PRODUCT(T50,2)</f>
        <v>6</v>
      </c>
      <c r="AE50" s="112">
        <f t="shared" si="142"/>
        <v>2</v>
      </c>
      <c r="AF50" s="112">
        <f t="shared" ref="AF50:AG50" si="143">PRODUCT(V50,3)</f>
        <v>3</v>
      </c>
      <c r="AG50" s="112">
        <f t="shared" si="143"/>
        <v>6</v>
      </c>
      <c r="AH50" s="112">
        <f t="shared" ref="AH50:AI50" si="144">PRODUCT(X50,4)</f>
        <v>12</v>
      </c>
      <c r="AI50" s="112">
        <f t="shared" si="144"/>
        <v>28</v>
      </c>
      <c r="AJ50" s="113">
        <f>PRODUCT(5,AB50)</f>
        <v>0</v>
      </c>
      <c r="AK50" s="113">
        <f>PRODUCT(AC50,5)</f>
        <v>0</v>
      </c>
      <c r="AL50" s="113">
        <v>102.0</v>
      </c>
    </row>
    <row r="51">
      <c r="A51" s="81" t="s">
        <v>97</v>
      </c>
      <c r="B51" s="81" t="s">
        <v>142</v>
      </c>
      <c r="C51" s="81"/>
      <c r="D51" s="81">
        <v>1.0</v>
      </c>
      <c r="E51" s="81">
        <v>4.0</v>
      </c>
      <c r="F51" s="81"/>
      <c r="G51" s="89">
        <f>PRODUCT(D51,(1/(D51+E51)))</f>
        <v>0.2</v>
      </c>
      <c r="H51" s="81">
        <v>1.0</v>
      </c>
      <c r="I51" s="81"/>
      <c r="J51" s="81">
        <v>0.0</v>
      </c>
      <c r="K51" s="81"/>
      <c r="L51" s="81">
        <v>0.0</v>
      </c>
      <c r="M51" s="81"/>
      <c r="N51" s="81">
        <v>1.0</v>
      </c>
      <c r="O51" s="81"/>
      <c r="P51" s="81">
        <v>3.0</v>
      </c>
      <c r="Q51" s="81"/>
      <c r="R51" s="81">
        <v>1.0</v>
      </c>
      <c r="S51" s="81"/>
      <c r="T51" s="81">
        <v>0.0</v>
      </c>
      <c r="U51" s="81"/>
      <c r="V51" s="81">
        <v>2.0</v>
      </c>
      <c r="W51" s="81"/>
      <c r="X51" s="103"/>
      <c r="Y51" s="103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>
        <v>6.0</v>
      </c>
      <c r="AK51" s="81"/>
      <c r="AL51" s="81">
        <v>6.0</v>
      </c>
    </row>
    <row r="52">
      <c r="A52" s="25" t="s">
        <v>30</v>
      </c>
      <c r="B52" s="75" t="s">
        <v>50</v>
      </c>
      <c r="C52" s="25">
        <v>10.0</v>
      </c>
      <c r="D52" s="25">
        <v>14.0</v>
      </c>
      <c r="E52" s="25">
        <v>11.0</v>
      </c>
      <c r="F52" s="25">
        <f t="shared" ref="F52:F56" si="149">SUM(D52:E52)</f>
        <v>25</v>
      </c>
      <c r="G52" s="43">
        <f t="shared" ref="G52:G56" si="150">PRODUCT(D52, (1/F52))</f>
        <v>0.56</v>
      </c>
      <c r="H52" s="25">
        <v>13.0</v>
      </c>
      <c r="I52" s="25">
        <v>8.0</v>
      </c>
      <c r="J52" s="25">
        <v>0.0</v>
      </c>
      <c r="K52" s="25">
        <v>0.0</v>
      </c>
      <c r="L52" s="25">
        <v>1.0</v>
      </c>
      <c r="M52" s="25">
        <v>0.0</v>
      </c>
      <c r="N52" s="25">
        <v>22.0</v>
      </c>
      <c r="O52" s="25">
        <v>21.0</v>
      </c>
      <c r="P52" s="25">
        <v>14.0</v>
      </c>
      <c r="Q52" s="25">
        <v>7.0</v>
      </c>
      <c r="R52" s="25">
        <v>8.0</v>
      </c>
      <c r="S52" s="25">
        <v>10.0</v>
      </c>
      <c r="T52" s="25">
        <v>1.0</v>
      </c>
      <c r="U52" s="25">
        <v>0.0</v>
      </c>
      <c r="V52" s="25">
        <v>1.0</v>
      </c>
      <c r="W52" s="25">
        <v>1.0</v>
      </c>
      <c r="X52" s="25">
        <v>3.0</v>
      </c>
      <c r="Y52" s="25">
        <v>3.0</v>
      </c>
      <c r="Z52" s="25"/>
      <c r="AA52" s="25"/>
      <c r="AB52" s="25">
        <f t="shared" ref="AB52:AC52" si="145">PRODUCT(T52,2)</f>
        <v>2</v>
      </c>
      <c r="AC52" s="25">
        <f t="shared" si="145"/>
        <v>0</v>
      </c>
      <c r="AD52" s="25">
        <f t="shared" ref="AD52:AE52" si="146">PRODUCT(V52,3)</f>
        <v>3</v>
      </c>
      <c r="AE52" s="25">
        <f t="shared" si="146"/>
        <v>3</v>
      </c>
      <c r="AF52" s="25">
        <f t="shared" ref="AF52:AG52" si="147">PRODUCT(X52,4)</f>
        <v>12</v>
      </c>
      <c r="AG52" s="25">
        <f t="shared" si="147"/>
        <v>12</v>
      </c>
      <c r="AH52" s="25"/>
      <c r="AI52" s="25"/>
      <c r="AJ52" s="25">
        <f t="shared" ref="AJ52:AK52" si="148">SUM(AB52,AD52,AF52)</f>
        <v>17</v>
      </c>
      <c r="AK52" s="25">
        <f t="shared" si="148"/>
        <v>15</v>
      </c>
      <c r="AL52" s="25">
        <v>74.0</v>
      </c>
    </row>
    <row r="53">
      <c r="A53" s="104" t="s">
        <v>30</v>
      </c>
      <c r="B53" s="104" t="s">
        <v>37</v>
      </c>
      <c r="C53" s="104">
        <v>11.0</v>
      </c>
      <c r="D53" s="104">
        <v>20.0</v>
      </c>
      <c r="E53" s="104">
        <v>13.0</v>
      </c>
      <c r="F53" s="84">
        <f t="shared" si="149"/>
        <v>33</v>
      </c>
      <c r="G53" s="84">
        <f t="shared" si="150"/>
        <v>0.6060606061</v>
      </c>
      <c r="H53" s="104">
        <v>16.0</v>
      </c>
      <c r="I53" s="104">
        <v>8.0</v>
      </c>
      <c r="J53" s="104">
        <v>0.0</v>
      </c>
      <c r="K53" s="104">
        <v>3.0</v>
      </c>
      <c r="L53" s="104">
        <v>0.0</v>
      </c>
      <c r="M53" s="104">
        <v>2.0</v>
      </c>
      <c r="N53" s="104">
        <v>29.0</v>
      </c>
      <c r="O53" s="104">
        <v>29.0</v>
      </c>
      <c r="P53" s="104">
        <v>18.0</v>
      </c>
      <c r="Q53" s="104">
        <v>7.0</v>
      </c>
      <c r="R53" s="104">
        <v>0.0</v>
      </c>
      <c r="S53" s="104">
        <v>5.0</v>
      </c>
      <c r="T53" s="104">
        <v>1.0</v>
      </c>
      <c r="U53" s="104">
        <v>2.0</v>
      </c>
      <c r="V53" s="104">
        <v>1.0</v>
      </c>
      <c r="W53" s="104">
        <v>4.0</v>
      </c>
      <c r="X53" s="104">
        <v>4.0</v>
      </c>
      <c r="Y53" s="104">
        <v>10.0</v>
      </c>
      <c r="Z53" s="105"/>
      <c r="AA53" s="105"/>
      <c r="AB53" s="105">
        <v>0.0</v>
      </c>
      <c r="AC53" s="105">
        <v>0.0</v>
      </c>
      <c r="AD53" s="106">
        <f t="shared" ref="AD53:AE53" si="151">PRODUCT(T53,2)</f>
        <v>2</v>
      </c>
      <c r="AE53" s="106">
        <f t="shared" si="151"/>
        <v>4</v>
      </c>
      <c r="AF53" s="106">
        <f t="shared" ref="AF53:AG53" si="152">PRODUCT(V53,3)</f>
        <v>3</v>
      </c>
      <c r="AG53" s="106">
        <f t="shared" si="152"/>
        <v>12</v>
      </c>
      <c r="AH53" s="106">
        <f t="shared" ref="AH53:AI53" si="153">PRODUCT(X53,4)</f>
        <v>16</v>
      </c>
      <c r="AI53" s="106">
        <f t="shared" si="153"/>
        <v>40</v>
      </c>
      <c r="AJ53" s="107">
        <f>PRODUCT(5,AB53)</f>
        <v>0</v>
      </c>
      <c r="AK53" s="107">
        <f>PRODUCT(AC53,5)</f>
        <v>0</v>
      </c>
      <c r="AL53" s="107">
        <v>96.0</v>
      </c>
    </row>
    <row r="54">
      <c r="A54" s="25" t="s">
        <v>98</v>
      </c>
      <c r="B54" s="75" t="s">
        <v>50</v>
      </c>
      <c r="C54" s="25">
        <v>9.0</v>
      </c>
      <c r="D54" s="25">
        <v>3.0</v>
      </c>
      <c r="E54" s="25">
        <v>12.0</v>
      </c>
      <c r="F54" s="25">
        <f t="shared" si="149"/>
        <v>15</v>
      </c>
      <c r="G54" s="43">
        <f t="shared" si="150"/>
        <v>0.2</v>
      </c>
      <c r="H54" s="25">
        <v>2.0</v>
      </c>
      <c r="I54" s="25">
        <v>12.0</v>
      </c>
      <c r="J54" s="25">
        <v>0.0</v>
      </c>
      <c r="K54" s="25">
        <v>0.0</v>
      </c>
      <c r="L54" s="25">
        <v>0.0</v>
      </c>
      <c r="M54" s="25">
        <v>0.0</v>
      </c>
      <c r="N54" s="25">
        <v>5.0</v>
      </c>
      <c r="O54" s="25">
        <v>23.0</v>
      </c>
      <c r="P54" s="25">
        <v>8.0</v>
      </c>
      <c r="Q54" s="25">
        <v>6.0</v>
      </c>
      <c r="R54" s="25">
        <v>1.0</v>
      </c>
      <c r="S54" s="25">
        <v>4.0</v>
      </c>
      <c r="T54" s="25">
        <v>0.0</v>
      </c>
      <c r="U54" s="25">
        <v>0.0</v>
      </c>
      <c r="V54" s="25">
        <v>2.0</v>
      </c>
      <c r="W54" s="25">
        <v>2.0</v>
      </c>
      <c r="X54" s="25">
        <v>0.0</v>
      </c>
      <c r="Y54" s="25">
        <v>5.0</v>
      </c>
      <c r="Z54" s="25"/>
      <c r="AA54" s="25"/>
      <c r="AB54" s="25">
        <f t="shared" ref="AB54:AC54" si="154">PRODUCT(T54,2)</f>
        <v>0</v>
      </c>
      <c r="AC54" s="25">
        <f t="shared" si="154"/>
        <v>0</v>
      </c>
      <c r="AD54" s="25">
        <f t="shared" ref="AD54:AE54" si="155">PRODUCT(V54,3)</f>
        <v>6</v>
      </c>
      <c r="AE54" s="25">
        <f t="shared" si="155"/>
        <v>6</v>
      </c>
      <c r="AF54" s="25">
        <f t="shared" ref="AF54:AG54" si="156">PRODUCT(X54,4)</f>
        <v>0</v>
      </c>
      <c r="AG54" s="25">
        <f t="shared" si="156"/>
        <v>20</v>
      </c>
      <c r="AH54" s="25"/>
      <c r="AI54" s="25"/>
      <c r="AJ54" s="25">
        <f t="shared" ref="AJ54:AK54" si="157">SUM(AB54,AD54,AF54)</f>
        <v>6</v>
      </c>
      <c r="AK54" s="25">
        <f t="shared" si="157"/>
        <v>26</v>
      </c>
      <c r="AL54" s="25">
        <v>12.0</v>
      </c>
    </row>
    <row r="55">
      <c r="A55" s="13" t="s">
        <v>99</v>
      </c>
      <c r="B55" s="81" t="s">
        <v>50</v>
      </c>
      <c r="C55" s="13">
        <v>9.0</v>
      </c>
      <c r="D55" s="13">
        <v>3.0</v>
      </c>
      <c r="E55" s="13">
        <v>3.0</v>
      </c>
      <c r="F55" s="13">
        <f t="shared" si="149"/>
        <v>6</v>
      </c>
      <c r="G55" s="42">
        <f t="shared" si="150"/>
        <v>0.5</v>
      </c>
      <c r="H55" s="13">
        <v>3.0</v>
      </c>
      <c r="I55" s="13">
        <v>2.0</v>
      </c>
      <c r="J55" s="13">
        <v>0.0</v>
      </c>
      <c r="K55" s="13">
        <v>0.0</v>
      </c>
      <c r="L55" s="13">
        <v>0.0</v>
      </c>
      <c r="M55" s="13">
        <v>0.0</v>
      </c>
      <c r="N55" s="13">
        <v>3.0</v>
      </c>
      <c r="O55" s="13">
        <v>9.0</v>
      </c>
      <c r="P55" s="13">
        <v>4.0</v>
      </c>
      <c r="Q55" s="13">
        <v>2.0</v>
      </c>
      <c r="R55" s="13">
        <v>3.0</v>
      </c>
      <c r="S55" s="13">
        <v>3.0</v>
      </c>
      <c r="T55" s="13">
        <v>1.0</v>
      </c>
      <c r="U55" s="13">
        <v>0.0</v>
      </c>
      <c r="V55" s="13">
        <v>1.0</v>
      </c>
      <c r="W55" s="13">
        <v>1.0</v>
      </c>
      <c r="X55" s="13">
        <v>1.0</v>
      </c>
      <c r="Y55" s="13">
        <v>4.0</v>
      </c>
      <c r="Z55" s="13"/>
      <c r="AA55" s="13"/>
      <c r="AB55" s="13">
        <f t="shared" ref="AB55:AC55" si="158">PRODUCT(T55,2)</f>
        <v>2</v>
      </c>
      <c r="AC55" s="13">
        <f t="shared" si="158"/>
        <v>0</v>
      </c>
      <c r="AD55" s="13">
        <f t="shared" ref="AD55:AE55" si="159">PRODUCT(V55,3)</f>
        <v>3</v>
      </c>
      <c r="AE55" s="13">
        <f t="shared" si="159"/>
        <v>3</v>
      </c>
      <c r="AF55" s="13">
        <f t="shared" ref="AF55:AG55" si="160">PRODUCT(X55,4)</f>
        <v>4</v>
      </c>
      <c r="AG55" s="13">
        <f t="shared" si="160"/>
        <v>16</v>
      </c>
      <c r="AH55" s="13"/>
      <c r="AI55" s="13"/>
      <c r="AJ55" s="13">
        <f t="shared" ref="AJ55:AK55" si="161">SUM(AB55,AD55,AF55)</f>
        <v>9</v>
      </c>
      <c r="AK55" s="13">
        <f t="shared" si="161"/>
        <v>19</v>
      </c>
      <c r="AL55" s="13">
        <v>14.0</v>
      </c>
    </row>
    <row r="56">
      <c r="A56" s="109" t="s">
        <v>99</v>
      </c>
      <c r="B56" s="109" t="s">
        <v>37</v>
      </c>
      <c r="C56" s="109">
        <v>10.0</v>
      </c>
      <c r="D56" s="109">
        <v>13.0</v>
      </c>
      <c r="E56" s="109">
        <v>10.0</v>
      </c>
      <c r="F56" s="110">
        <f t="shared" si="149"/>
        <v>23</v>
      </c>
      <c r="G56" s="110">
        <f t="shared" si="150"/>
        <v>0.5652173913</v>
      </c>
      <c r="H56" s="109">
        <v>9.0</v>
      </c>
      <c r="I56" s="109">
        <v>7.0</v>
      </c>
      <c r="J56" s="109">
        <v>0.0</v>
      </c>
      <c r="K56" s="109">
        <v>3.0</v>
      </c>
      <c r="L56" s="109">
        <v>0.0</v>
      </c>
      <c r="M56" s="109">
        <v>0.0</v>
      </c>
      <c r="N56" s="109">
        <v>10.0</v>
      </c>
      <c r="O56" s="109">
        <v>25.0</v>
      </c>
      <c r="P56" s="109">
        <v>5.0</v>
      </c>
      <c r="Q56" s="109">
        <v>11.0</v>
      </c>
      <c r="R56" s="109">
        <v>4.0</v>
      </c>
      <c r="S56" s="109">
        <v>2.0</v>
      </c>
      <c r="T56" s="109">
        <v>0.0</v>
      </c>
      <c r="U56" s="109">
        <v>3.0</v>
      </c>
      <c r="V56" s="109">
        <v>0.0</v>
      </c>
      <c r="W56" s="109">
        <v>0.0</v>
      </c>
      <c r="X56" s="109">
        <v>2.0</v>
      </c>
      <c r="Y56" s="109">
        <v>11.0</v>
      </c>
      <c r="Z56" s="111"/>
      <c r="AA56" s="111"/>
      <c r="AB56" s="111">
        <v>0.0</v>
      </c>
      <c r="AC56" s="111">
        <v>0.0</v>
      </c>
      <c r="AD56" s="112">
        <f t="shared" ref="AD56:AE56" si="162">PRODUCT(T56,2)</f>
        <v>0</v>
      </c>
      <c r="AE56" s="112">
        <f t="shared" si="162"/>
        <v>6</v>
      </c>
      <c r="AF56" s="112">
        <f t="shared" ref="AF56:AG56" si="163">PRODUCT(V56,3)</f>
        <v>0</v>
      </c>
      <c r="AG56" s="112">
        <f t="shared" si="163"/>
        <v>0</v>
      </c>
      <c r="AH56" s="112">
        <f t="shared" ref="AH56:AI56" si="164">PRODUCT(X56,4)</f>
        <v>8</v>
      </c>
      <c r="AI56" s="112">
        <f t="shared" si="164"/>
        <v>44</v>
      </c>
      <c r="AJ56" s="113">
        <f>PRODUCT(5,AB56)</f>
        <v>0</v>
      </c>
      <c r="AK56" s="113">
        <f>PRODUCT(AC56,5)</f>
        <v>0</v>
      </c>
      <c r="AL56" s="113">
        <v>54.0</v>
      </c>
    </row>
    <row r="57">
      <c r="A57" s="81" t="s">
        <v>14</v>
      </c>
      <c r="B57" s="81" t="s">
        <v>143</v>
      </c>
      <c r="C57" s="81">
        <v>10.0</v>
      </c>
      <c r="D57" s="81">
        <v>4.0</v>
      </c>
      <c r="E57" s="81">
        <v>8.0</v>
      </c>
      <c r="F57" s="81"/>
      <c r="G57" s="89">
        <f t="shared" ref="G57:G63" si="165">PRODUCT(D57,(1/(D57+E57)))</f>
        <v>0.3333333333</v>
      </c>
      <c r="H57" s="81">
        <v>3.0</v>
      </c>
      <c r="I57" s="81"/>
      <c r="J57" s="81">
        <v>0.0</v>
      </c>
      <c r="K57" s="81"/>
      <c r="L57" s="81">
        <v>0.0</v>
      </c>
      <c r="M57" s="81"/>
      <c r="N57" s="81">
        <v>4.0</v>
      </c>
      <c r="O57" s="81"/>
      <c r="P57" s="81">
        <v>4.0</v>
      </c>
      <c r="Q57" s="81"/>
      <c r="R57" s="81">
        <v>1.0</v>
      </c>
      <c r="S57" s="81"/>
      <c r="T57" s="81">
        <v>0.0</v>
      </c>
      <c r="U57" s="81"/>
      <c r="V57" s="81">
        <v>0.0</v>
      </c>
      <c r="W57" s="81"/>
      <c r="X57" s="103"/>
      <c r="Y57" s="103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>
        <v>0.0</v>
      </c>
      <c r="AK57" s="81"/>
      <c r="AL57" s="81">
        <v>24.0</v>
      </c>
    </row>
    <row r="58">
      <c r="A58" s="75" t="s">
        <v>14</v>
      </c>
      <c r="B58" s="75" t="s">
        <v>144</v>
      </c>
      <c r="C58" s="75">
        <v>11.0</v>
      </c>
      <c r="D58" s="75">
        <v>3.0</v>
      </c>
      <c r="E58" s="75">
        <v>1.0</v>
      </c>
      <c r="F58" s="75"/>
      <c r="G58" s="87">
        <f t="shared" si="165"/>
        <v>0.75</v>
      </c>
      <c r="H58" s="75">
        <v>3.0</v>
      </c>
      <c r="I58" s="75"/>
      <c r="J58" s="75">
        <v>0.0</v>
      </c>
      <c r="K58" s="75"/>
      <c r="L58" s="75">
        <v>0.0</v>
      </c>
      <c r="M58" s="75"/>
      <c r="N58" s="75">
        <v>3.0</v>
      </c>
      <c r="O58" s="75"/>
      <c r="P58" s="75">
        <v>1.0</v>
      </c>
      <c r="Q58" s="75"/>
      <c r="R58" s="75">
        <v>1.0</v>
      </c>
      <c r="S58" s="75"/>
      <c r="T58" s="75">
        <v>0.0</v>
      </c>
      <c r="U58" s="75"/>
      <c r="V58" s="75">
        <v>0.0</v>
      </c>
      <c r="W58" s="75"/>
      <c r="X58" s="108"/>
      <c r="Y58" s="108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>
        <v>0.0</v>
      </c>
      <c r="AK58" s="75"/>
      <c r="AL58" s="75">
        <v>18.0</v>
      </c>
    </row>
    <row r="59">
      <c r="A59" s="81" t="s">
        <v>14</v>
      </c>
      <c r="B59" s="81" t="s">
        <v>51</v>
      </c>
      <c r="C59" s="81">
        <v>12.0</v>
      </c>
      <c r="D59" s="81">
        <v>14.0</v>
      </c>
      <c r="E59" s="81">
        <v>5.0</v>
      </c>
      <c r="F59" s="81"/>
      <c r="G59" s="89">
        <f t="shared" si="165"/>
        <v>0.7368421053</v>
      </c>
      <c r="H59" s="81">
        <v>13.0</v>
      </c>
      <c r="I59" s="81"/>
      <c r="J59" s="81">
        <v>0.0</v>
      </c>
      <c r="K59" s="81"/>
      <c r="L59" s="81">
        <v>0.0</v>
      </c>
      <c r="M59" s="81"/>
      <c r="N59" s="81">
        <v>12.0</v>
      </c>
      <c r="O59" s="81"/>
      <c r="P59" s="81">
        <v>7.0</v>
      </c>
      <c r="Q59" s="81"/>
      <c r="R59" s="81">
        <v>3.0</v>
      </c>
      <c r="S59" s="81"/>
      <c r="T59" s="81">
        <v>1.0</v>
      </c>
      <c r="U59" s="81"/>
      <c r="V59" s="81">
        <v>1.0</v>
      </c>
      <c r="W59" s="81"/>
      <c r="X59" s="103"/>
      <c r="Y59" s="103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>
        <v>5.0</v>
      </c>
      <c r="AK59" s="81"/>
      <c r="AL59" s="81">
        <v>84.0</v>
      </c>
    </row>
    <row r="60">
      <c r="A60" s="75" t="s">
        <v>101</v>
      </c>
      <c r="B60" s="75" t="s">
        <v>143</v>
      </c>
      <c r="C60" s="75"/>
      <c r="D60" s="75">
        <v>2.0</v>
      </c>
      <c r="E60" s="75">
        <v>4.0</v>
      </c>
      <c r="F60" s="75"/>
      <c r="G60" s="87">
        <f t="shared" si="165"/>
        <v>0.3333333333</v>
      </c>
      <c r="H60" s="75">
        <v>1.0</v>
      </c>
      <c r="I60" s="75"/>
      <c r="J60" s="75">
        <v>0.0</v>
      </c>
      <c r="K60" s="75"/>
      <c r="L60" s="75">
        <v>1.0</v>
      </c>
      <c r="M60" s="75"/>
      <c r="N60" s="75">
        <v>3.0</v>
      </c>
      <c r="O60" s="75"/>
      <c r="P60" s="75">
        <v>2.0</v>
      </c>
      <c r="Q60" s="75"/>
      <c r="R60" s="75">
        <v>0.0</v>
      </c>
      <c r="S60" s="75"/>
      <c r="T60" s="75">
        <v>0.0</v>
      </c>
      <c r="U60" s="75"/>
      <c r="V60" s="75">
        <v>1.0</v>
      </c>
      <c r="W60" s="75"/>
      <c r="X60" s="108"/>
      <c r="Y60" s="108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>
        <v>3.0</v>
      </c>
      <c r="AK60" s="75"/>
      <c r="AL60" s="75">
        <v>10.0</v>
      </c>
    </row>
    <row r="61">
      <c r="A61" s="81" t="s">
        <v>15</v>
      </c>
      <c r="B61" s="81" t="s">
        <v>143</v>
      </c>
      <c r="C61" s="81">
        <v>9.0</v>
      </c>
      <c r="D61" s="81">
        <v>9.0</v>
      </c>
      <c r="E61" s="81">
        <v>8.0</v>
      </c>
      <c r="F61" s="81"/>
      <c r="G61" s="89">
        <f t="shared" si="165"/>
        <v>0.5294117647</v>
      </c>
      <c r="H61" s="81">
        <v>7.0</v>
      </c>
      <c r="I61" s="81"/>
      <c r="J61" s="81">
        <v>0.0</v>
      </c>
      <c r="K61" s="81"/>
      <c r="L61" s="81">
        <v>1.0</v>
      </c>
      <c r="M61" s="81"/>
      <c r="N61" s="81">
        <v>15.0</v>
      </c>
      <c r="O61" s="81"/>
      <c r="P61" s="81">
        <v>2.0</v>
      </c>
      <c r="Q61" s="81"/>
      <c r="R61" s="81">
        <v>5.0</v>
      </c>
      <c r="S61" s="81"/>
      <c r="T61" s="81">
        <v>1.0</v>
      </c>
      <c r="U61" s="81"/>
      <c r="V61" s="81">
        <v>6.0</v>
      </c>
      <c r="W61" s="81"/>
      <c r="X61" s="103"/>
      <c r="Y61" s="103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>
        <v>21.0</v>
      </c>
      <c r="AK61" s="81"/>
      <c r="AL61" s="81">
        <v>39.0</v>
      </c>
    </row>
    <row r="62">
      <c r="A62" s="75" t="s">
        <v>15</v>
      </c>
      <c r="B62" s="75" t="s">
        <v>144</v>
      </c>
      <c r="C62" s="75">
        <v>10.0</v>
      </c>
      <c r="D62" s="75">
        <v>3.0</v>
      </c>
      <c r="E62" s="75">
        <v>2.0</v>
      </c>
      <c r="F62" s="75"/>
      <c r="G62" s="87">
        <f t="shared" si="165"/>
        <v>0.6</v>
      </c>
      <c r="H62" s="75">
        <v>3.0</v>
      </c>
      <c r="I62" s="75"/>
      <c r="J62" s="75">
        <v>0.0</v>
      </c>
      <c r="K62" s="75"/>
      <c r="L62" s="75">
        <v>0.0</v>
      </c>
      <c r="M62" s="75"/>
      <c r="N62" s="75">
        <v>7.0</v>
      </c>
      <c r="O62" s="75"/>
      <c r="P62" s="75">
        <v>1.0</v>
      </c>
      <c r="Q62" s="75"/>
      <c r="R62" s="75">
        <v>1.0</v>
      </c>
      <c r="S62" s="75"/>
      <c r="T62" s="75">
        <v>1.0</v>
      </c>
      <c r="U62" s="75"/>
      <c r="V62" s="75">
        <v>1.0</v>
      </c>
      <c r="W62" s="75"/>
      <c r="X62" s="108"/>
      <c r="Y62" s="108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>
        <v>5.0</v>
      </c>
      <c r="AK62" s="75"/>
      <c r="AL62" s="75">
        <v>18.0</v>
      </c>
    </row>
    <row r="63">
      <c r="A63" s="81" t="s">
        <v>15</v>
      </c>
      <c r="B63" s="81" t="s">
        <v>51</v>
      </c>
      <c r="C63" s="81">
        <v>11.0</v>
      </c>
      <c r="D63" s="81">
        <v>18.0</v>
      </c>
      <c r="E63" s="81">
        <v>9.0</v>
      </c>
      <c r="F63" s="81"/>
      <c r="G63" s="89">
        <f t="shared" si="165"/>
        <v>0.6666666667</v>
      </c>
      <c r="H63" s="81">
        <v>12.0</v>
      </c>
      <c r="I63" s="81"/>
      <c r="J63" s="81">
        <v>1.0</v>
      </c>
      <c r="K63" s="81"/>
      <c r="L63" s="81">
        <v>1.0</v>
      </c>
      <c r="M63" s="81"/>
      <c r="N63" s="81">
        <v>30.0</v>
      </c>
      <c r="O63" s="81"/>
      <c r="P63" s="81">
        <v>5.0</v>
      </c>
      <c r="Q63" s="81"/>
      <c r="R63" s="81">
        <v>13.0</v>
      </c>
      <c r="S63" s="81"/>
      <c r="T63" s="81">
        <v>6.0</v>
      </c>
      <c r="U63" s="81"/>
      <c r="V63" s="81">
        <v>8.0</v>
      </c>
      <c r="W63" s="81"/>
      <c r="X63" s="103"/>
      <c r="Y63" s="103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>
        <v>36.0</v>
      </c>
      <c r="AK63" s="81"/>
      <c r="AL63" s="81">
        <v>96.0</v>
      </c>
    </row>
    <row r="64">
      <c r="A64" s="25" t="s">
        <v>15</v>
      </c>
      <c r="B64" s="25" t="s">
        <v>58</v>
      </c>
      <c r="C64" s="25">
        <v>12.0</v>
      </c>
      <c r="D64" s="25">
        <v>35.0</v>
      </c>
      <c r="E64" s="25">
        <v>6.0</v>
      </c>
      <c r="F64" s="25">
        <f>SUM(D64:E64)</f>
        <v>41</v>
      </c>
      <c r="G64" s="82">
        <f>PRODUCT(D64,(1/F64))</f>
        <v>0.8536585366</v>
      </c>
      <c r="H64" s="25">
        <v>24.0</v>
      </c>
      <c r="I64" s="25">
        <v>4.0</v>
      </c>
      <c r="J64" s="25">
        <v>0.0</v>
      </c>
      <c r="K64" s="25">
        <v>0.0</v>
      </c>
      <c r="L64" s="25">
        <v>4.0</v>
      </c>
      <c r="M64" s="25">
        <v>0.0</v>
      </c>
      <c r="N64" s="25">
        <v>44.0</v>
      </c>
      <c r="O64" s="25">
        <v>9.0</v>
      </c>
      <c r="P64" s="25">
        <v>6.0</v>
      </c>
      <c r="Q64" s="25">
        <v>12.0</v>
      </c>
      <c r="R64" s="25">
        <v>11.0</v>
      </c>
      <c r="S64" s="25">
        <v>3.0</v>
      </c>
      <c r="T64" s="25">
        <v>8.0</v>
      </c>
      <c r="U64" s="25">
        <v>0.0</v>
      </c>
      <c r="V64" s="25">
        <v>11.0</v>
      </c>
      <c r="W64" s="25">
        <v>4.0</v>
      </c>
      <c r="X64" s="75">
        <v>0.0</v>
      </c>
      <c r="Y64" s="75">
        <v>0.0</v>
      </c>
      <c r="Z64" s="25"/>
      <c r="AA64" s="25"/>
      <c r="AB64" s="25">
        <f t="shared" ref="AB64:AC64" si="166">PRODUCT(T64,2)</f>
        <v>16</v>
      </c>
      <c r="AC64" s="25">
        <f t="shared" si="166"/>
        <v>0</v>
      </c>
      <c r="AD64" s="25">
        <f t="shared" ref="AD64:AE64" si="167">PRODUCT(V64,3)</f>
        <v>33</v>
      </c>
      <c r="AE64" s="25">
        <f t="shared" si="167"/>
        <v>12</v>
      </c>
      <c r="AF64" s="25">
        <f t="shared" ref="AF64:AG64" si="168">PRODUCT(X64,4)</f>
        <v>0</v>
      </c>
      <c r="AG64" s="25">
        <f t="shared" si="168"/>
        <v>0</v>
      </c>
      <c r="AH64" s="25"/>
      <c r="AI64" s="25"/>
      <c r="AJ64" s="25">
        <f t="shared" ref="AJ64:AK64" si="169">SUM(AB64,AD64,AF64)</f>
        <v>49</v>
      </c>
      <c r="AK64" s="25">
        <f t="shared" si="169"/>
        <v>12</v>
      </c>
      <c r="AL64" s="25">
        <v>197.0</v>
      </c>
    </row>
    <row r="65">
      <c r="A65" s="81" t="s">
        <v>102</v>
      </c>
      <c r="B65" s="81" t="s">
        <v>142</v>
      </c>
      <c r="C65" s="81"/>
      <c r="D65" s="81">
        <v>0.0</v>
      </c>
      <c r="E65" s="81">
        <v>1.0</v>
      </c>
      <c r="F65" s="81"/>
      <c r="G65" s="89">
        <f>PRODUCT(D65,(1/(D65+E65)))</f>
        <v>0</v>
      </c>
      <c r="H65" s="81">
        <v>0.0</v>
      </c>
      <c r="I65" s="81"/>
      <c r="J65" s="81">
        <v>0.0</v>
      </c>
      <c r="K65" s="81"/>
      <c r="L65" s="81">
        <v>0.0</v>
      </c>
      <c r="M65" s="81"/>
      <c r="N65" s="81">
        <v>2.0</v>
      </c>
      <c r="O65" s="81"/>
      <c r="P65" s="81">
        <v>0.0</v>
      </c>
      <c r="Q65" s="81"/>
      <c r="R65" s="81">
        <v>0.0</v>
      </c>
      <c r="S65" s="81"/>
      <c r="T65" s="81">
        <v>0.0</v>
      </c>
      <c r="U65" s="81"/>
      <c r="V65" s="81">
        <v>0.0</v>
      </c>
      <c r="W65" s="81"/>
      <c r="X65" s="103"/>
      <c r="Y65" s="103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>
        <v>0.0</v>
      </c>
      <c r="AK65" s="81"/>
      <c r="AL65" s="81">
        <v>0.0</v>
      </c>
    </row>
    <row r="66">
      <c r="A66" s="25" t="s">
        <v>103</v>
      </c>
      <c r="B66" s="75" t="s">
        <v>59</v>
      </c>
      <c r="C66" s="25">
        <v>9.0</v>
      </c>
      <c r="D66" s="25">
        <v>9.0</v>
      </c>
      <c r="E66" s="25">
        <v>10.0</v>
      </c>
      <c r="F66" s="25">
        <f t="shared" ref="F66:F68" si="174">SUM(D66:E66)</f>
        <v>19</v>
      </c>
      <c r="G66" s="43">
        <f>PRODUCT(D66, (1/F66))</f>
        <v>0.4736842105</v>
      </c>
      <c r="H66" s="25">
        <v>8.0</v>
      </c>
      <c r="I66" s="25">
        <v>10.0</v>
      </c>
      <c r="J66" s="25">
        <v>0.0</v>
      </c>
      <c r="K66" s="25">
        <v>0.0</v>
      </c>
      <c r="L66" s="25">
        <v>0.0</v>
      </c>
      <c r="M66" s="25">
        <v>0.0</v>
      </c>
      <c r="N66" s="25">
        <v>13.0</v>
      </c>
      <c r="O66" s="25">
        <v>18.0</v>
      </c>
      <c r="P66" s="25">
        <v>7.0</v>
      </c>
      <c r="Q66" s="25">
        <v>2.0</v>
      </c>
      <c r="R66" s="25">
        <v>4.0</v>
      </c>
      <c r="S66" s="25">
        <v>2.0</v>
      </c>
      <c r="T66" s="25">
        <v>4.0</v>
      </c>
      <c r="U66" s="25">
        <v>0.0</v>
      </c>
      <c r="V66" s="25">
        <v>3.0</v>
      </c>
      <c r="W66" s="25">
        <v>3.0</v>
      </c>
      <c r="X66" s="75">
        <v>0.0</v>
      </c>
      <c r="Y66" s="75">
        <v>0.0</v>
      </c>
      <c r="Z66" s="25"/>
      <c r="AA66" s="25"/>
      <c r="AB66" s="25">
        <f t="shared" ref="AB66:AC66" si="170">PRODUCT(T66,2)</f>
        <v>8</v>
      </c>
      <c r="AC66" s="25">
        <f t="shared" si="170"/>
        <v>0</v>
      </c>
      <c r="AD66" s="25">
        <f t="shared" ref="AD66:AE66" si="171">PRODUCT(V66,3)</f>
        <v>9</v>
      </c>
      <c r="AE66" s="25">
        <f t="shared" si="171"/>
        <v>9</v>
      </c>
      <c r="AF66" s="25">
        <f t="shared" ref="AF66:AG66" si="172">PRODUCT(X66,4)</f>
        <v>0</v>
      </c>
      <c r="AG66" s="25">
        <f t="shared" si="172"/>
        <v>0</v>
      </c>
      <c r="AH66" s="25"/>
      <c r="AI66" s="25"/>
      <c r="AJ66" s="25">
        <f t="shared" ref="AJ66:AK66" si="173">SUM(AB66,AD66,AF66)</f>
        <v>17</v>
      </c>
      <c r="AK66" s="25">
        <f t="shared" si="173"/>
        <v>9</v>
      </c>
      <c r="AL66" s="25">
        <v>44.0</v>
      </c>
    </row>
    <row r="67">
      <c r="A67" s="13" t="s">
        <v>104</v>
      </c>
      <c r="B67" s="13" t="s">
        <v>58</v>
      </c>
      <c r="C67" s="13">
        <v>9.0</v>
      </c>
      <c r="D67" s="13">
        <v>7.0</v>
      </c>
      <c r="E67" s="13">
        <v>19.0</v>
      </c>
      <c r="F67" s="13">
        <f t="shared" si="174"/>
        <v>26</v>
      </c>
      <c r="G67" s="90">
        <f>PRODUCT(D67,(1/F67))</f>
        <v>0.2692307692</v>
      </c>
      <c r="H67" s="13">
        <v>2.0</v>
      </c>
      <c r="I67" s="13">
        <v>17.0</v>
      </c>
      <c r="J67" s="13">
        <v>0.0</v>
      </c>
      <c r="K67" s="13">
        <v>0.0</v>
      </c>
      <c r="L67" s="13">
        <v>0.0</v>
      </c>
      <c r="M67" s="13">
        <v>2.0</v>
      </c>
      <c r="N67" s="13">
        <v>3.0</v>
      </c>
      <c r="O67" s="13">
        <v>23.0</v>
      </c>
      <c r="P67" s="13">
        <v>1.0</v>
      </c>
      <c r="Q67" s="13">
        <v>2.0</v>
      </c>
      <c r="R67" s="13">
        <v>4.0</v>
      </c>
      <c r="S67" s="13">
        <v>8.0</v>
      </c>
      <c r="T67" s="13">
        <v>2.0</v>
      </c>
      <c r="U67" s="13">
        <v>9.0</v>
      </c>
      <c r="V67" s="13">
        <v>0.0</v>
      </c>
      <c r="W67" s="13">
        <v>6.0</v>
      </c>
      <c r="X67" s="81">
        <v>0.0</v>
      </c>
      <c r="Y67" s="81">
        <v>0.0</v>
      </c>
      <c r="Z67" s="13"/>
      <c r="AA67" s="13"/>
      <c r="AB67" s="13">
        <f t="shared" ref="AB67:AC67" si="175">PRODUCT(T67,2)</f>
        <v>4</v>
      </c>
      <c r="AC67" s="13">
        <f t="shared" si="175"/>
        <v>18</v>
      </c>
      <c r="AD67" s="13">
        <f t="shared" ref="AD67:AE67" si="176">PRODUCT(V67,3)</f>
        <v>0</v>
      </c>
      <c r="AE67" s="13">
        <f t="shared" si="176"/>
        <v>18</v>
      </c>
      <c r="AF67" s="13">
        <f t="shared" ref="AF67:AG67" si="177">PRODUCT(X67,4)</f>
        <v>0</v>
      </c>
      <c r="AG67" s="13">
        <f t="shared" si="177"/>
        <v>0</v>
      </c>
      <c r="AH67" s="13"/>
      <c r="AI67" s="13"/>
      <c r="AJ67" s="13">
        <f t="shared" ref="AJ67:AK67" si="178">SUM(AB67,AD67,AF67)</f>
        <v>4</v>
      </c>
      <c r="AK67" s="13">
        <f t="shared" si="178"/>
        <v>36</v>
      </c>
      <c r="AL67" s="13">
        <v>12.0</v>
      </c>
    </row>
    <row r="68">
      <c r="A68" s="25" t="s">
        <v>104</v>
      </c>
      <c r="B68" s="75" t="s">
        <v>59</v>
      </c>
      <c r="C68" s="25">
        <v>10.0</v>
      </c>
      <c r="D68" s="25">
        <v>7.0</v>
      </c>
      <c r="E68" s="25">
        <v>14.0</v>
      </c>
      <c r="F68" s="25">
        <f t="shared" si="174"/>
        <v>21</v>
      </c>
      <c r="G68" s="43">
        <f>PRODUCT(D68, (1/F68))</f>
        <v>0.3333333333</v>
      </c>
      <c r="H68" s="25">
        <v>4.0</v>
      </c>
      <c r="I68" s="25">
        <v>14.0</v>
      </c>
      <c r="J68" s="25">
        <v>0.0</v>
      </c>
      <c r="K68" s="25">
        <v>0.0</v>
      </c>
      <c r="L68" s="25">
        <v>0.0</v>
      </c>
      <c r="M68" s="25">
        <v>0.0</v>
      </c>
      <c r="N68" s="25">
        <v>1.0</v>
      </c>
      <c r="O68" s="25">
        <v>22.0</v>
      </c>
      <c r="P68" s="25">
        <v>3.0</v>
      </c>
      <c r="Q68" s="25">
        <v>0.0</v>
      </c>
      <c r="R68" s="25">
        <v>5.0</v>
      </c>
      <c r="S68" s="25">
        <v>4.0</v>
      </c>
      <c r="T68" s="25">
        <v>0.0</v>
      </c>
      <c r="U68" s="25">
        <v>4.0</v>
      </c>
      <c r="V68" s="25">
        <v>1.0</v>
      </c>
      <c r="W68" s="25">
        <v>8.0</v>
      </c>
      <c r="X68" s="75">
        <v>0.0</v>
      </c>
      <c r="Y68" s="75">
        <v>0.0</v>
      </c>
      <c r="Z68" s="25"/>
      <c r="AA68" s="25"/>
      <c r="AB68" s="25">
        <f t="shared" ref="AB68:AC68" si="179">PRODUCT(T68,2)</f>
        <v>0</v>
      </c>
      <c r="AC68" s="25">
        <f t="shared" si="179"/>
        <v>8</v>
      </c>
      <c r="AD68" s="25">
        <f t="shared" ref="AD68:AE68" si="180">PRODUCT(V68,3)</f>
        <v>3</v>
      </c>
      <c r="AE68" s="25">
        <f t="shared" si="180"/>
        <v>24</v>
      </c>
      <c r="AF68" s="25">
        <f t="shared" ref="AF68:AG68" si="181">PRODUCT(X68,4)</f>
        <v>0</v>
      </c>
      <c r="AG68" s="25">
        <f t="shared" si="181"/>
        <v>0</v>
      </c>
      <c r="AH68" s="25"/>
      <c r="AI68" s="25"/>
      <c r="AJ68" s="25">
        <f t="shared" ref="AJ68:AK68" si="182">SUM(AB68,AD68,AF68)</f>
        <v>3</v>
      </c>
      <c r="AK68" s="25">
        <f t="shared" si="182"/>
        <v>32</v>
      </c>
      <c r="AL68" s="25">
        <v>25.0</v>
      </c>
    </row>
    <row r="69">
      <c r="A69" s="81" t="s">
        <v>105</v>
      </c>
      <c r="B69" s="81" t="s">
        <v>142</v>
      </c>
      <c r="C69" s="81"/>
      <c r="D69" s="81">
        <v>1.0</v>
      </c>
      <c r="E69" s="81">
        <v>8.0</v>
      </c>
      <c r="F69" s="81"/>
      <c r="G69" s="89">
        <f t="shared" ref="G69:G70" si="183">PRODUCT(D69,(1/(D69+E69)))</f>
        <v>0.1111111111</v>
      </c>
      <c r="H69" s="81">
        <v>1.0</v>
      </c>
      <c r="I69" s="81"/>
      <c r="J69" s="81">
        <v>0.0</v>
      </c>
      <c r="K69" s="81"/>
      <c r="L69" s="81">
        <v>0.0</v>
      </c>
      <c r="M69" s="81"/>
      <c r="N69" s="81">
        <v>6.0</v>
      </c>
      <c r="O69" s="81"/>
      <c r="P69" s="81">
        <v>9.0</v>
      </c>
      <c r="Q69" s="81"/>
      <c r="R69" s="81">
        <v>1.0</v>
      </c>
      <c r="S69" s="81"/>
      <c r="T69" s="81">
        <v>0.0</v>
      </c>
      <c r="U69" s="81"/>
      <c r="V69" s="81">
        <v>0.0</v>
      </c>
      <c r="W69" s="81"/>
      <c r="X69" s="103"/>
      <c r="Y69" s="103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>
        <v>0.0</v>
      </c>
      <c r="AK69" s="81"/>
      <c r="AL69" s="81">
        <v>6.0</v>
      </c>
    </row>
    <row r="70">
      <c r="A70" s="25" t="s">
        <v>105</v>
      </c>
      <c r="B70" s="75" t="s">
        <v>143</v>
      </c>
      <c r="C70" s="75"/>
      <c r="D70" s="75">
        <v>6.0</v>
      </c>
      <c r="E70" s="75">
        <v>6.0</v>
      </c>
      <c r="F70" s="75"/>
      <c r="G70" s="87">
        <f t="shared" si="183"/>
        <v>0.5</v>
      </c>
      <c r="H70" s="75">
        <v>2.0</v>
      </c>
      <c r="I70" s="75"/>
      <c r="J70" s="75">
        <v>0.0</v>
      </c>
      <c r="K70" s="75"/>
      <c r="L70" s="75">
        <v>0.0</v>
      </c>
      <c r="M70" s="75"/>
      <c r="N70" s="75">
        <v>4.0</v>
      </c>
      <c r="O70" s="75"/>
      <c r="P70" s="75">
        <v>5.0</v>
      </c>
      <c r="Q70" s="75"/>
      <c r="R70" s="75">
        <v>3.0</v>
      </c>
      <c r="S70" s="75"/>
      <c r="T70" s="75">
        <v>0.0</v>
      </c>
      <c r="U70" s="75"/>
      <c r="V70" s="75">
        <v>1.0</v>
      </c>
      <c r="W70" s="75"/>
      <c r="X70" s="108"/>
      <c r="Y70" s="108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>
        <v>3.0</v>
      </c>
      <c r="AK70" s="75"/>
      <c r="AL70" s="75">
        <v>27.0</v>
      </c>
    </row>
    <row r="71">
      <c r="A71" s="13" t="s">
        <v>7</v>
      </c>
      <c r="B71" s="81" t="s">
        <v>59</v>
      </c>
      <c r="C71" s="13">
        <v>11.0</v>
      </c>
      <c r="D71" s="13">
        <v>16.0</v>
      </c>
      <c r="E71" s="13">
        <v>9.0</v>
      </c>
      <c r="F71" s="13">
        <f t="shared" ref="F71:F73" si="188">SUM(D71:E71)</f>
        <v>25</v>
      </c>
      <c r="G71" s="42">
        <f t="shared" ref="G71:G72" si="189">PRODUCT(D71, (1/F71))</f>
        <v>0.64</v>
      </c>
      <c r="H71" s="13">
        <v>14.0</v>
      </c>
      <c r="I71" s="13">
        <v>6.0</v>
      </c>
      <c r="J71" s="13">
        <v>0.0</v>
      </c>
      <c r="K71" s="13">
        <v>1.0</v>
      </c>
      <c r="L71" s="13">
        <v>0.0</v>
      </c>
      <c r="M71" s="13">
        <v>0.0</v>
      </c>
      <c r="N71" s="13">
        <v>12.0</v>
      </c>
      <c r="O71" s="13">
        <v>28.0</v>
      </c>
      <c r="P71" s="13">
        <v>13.0</v>
      </c>
      <c r="Q71" s="13">
        <v>6.0</v>
      </c>
      <c r="R71" s="13">
        <v>8.0</v>
      </c>
      <c r="S71" s="13">
        <v>14.0</v>
      </c>
      <c r="T71" s="13">
        <v>1.0</v>
      </c>
      <c r="U71" s="13">
        <v>2.0</v>
      </c>
      <c r="V71" s="13">
        <v>2.0</v>
      </c>
      <c r="W71" s="13">
        <v>8.0</v>
      </c>
      <c r="X71" s="81">
        <v>0.0</v>
      </c>
      <c r="Y71" s="81">
        <v>0.0</v>
      </c>
      <c r="Z71" s="13"/>
      <c r="AA71" s="13"/>
      <c r="AB71" s="13">
        <f t="shared" ref="AB71:AC71" si="184">PRODUCT(T71,2)</f>
        <v>2</v>
      </c>
      <c r="AC71" s="13">
        <f t="shared" si="184"/>
        <v>4</v>
      </c>
      <c r="AD71" s="13">
        <f t="shared" ref="AD71:AE71" si="185">PRODUCT(V71,3)</f>
        <v>6</v>
      </c>
      <c r="AE71" s="13">
        <f t="shared" si="185"/>
        <v>24</v>
      </c>
      <c r="AF71" s="13">
        <f t="shared" ref="AF71:AG71" si="186">PRODUCT(X71,4)</f>
        <v>0</v>
      </c>
      <c r="AG71" s="13">
        <f t="shared" si="186"/>
        <v>0</v>
      </c>
      <c r="AH71" s="13"/>
      <c r="AI71" s="13"/>
      <c r="AJ71" s="13">
        <f t="shared" ref="AJ71:AK71" si="187">SUM(AB71,AD71,AF71)</f>
        <v>8</v>
      </c>
      <c r="AK71" s="13">
        <f t="shared" si="187"/>
        <v>28</v>
      </c>
      <c r="AL71" s="13">
        <v>98.0</v>
      </c>
    </row>
    <row r="72">
      <c r="A72" s="25" t="s">
        <v>7</v>
      </c>
      <c r="B72" s="75" t="s">
        <v>50</v>
      </c>
      <c r="C72" s="25">
        <v>12.0</v>
      </c>
      <c r="D72" s="25">
        <v>32.0</v>
      </c>
      <c r="E72" s="25">
        <v>11.0</v>
      </c>
      <c r="F72" s="25">
        <f t="shared" si="188"/>
        <v>43</v>
      </c>
      <c r="G72" s="43">
        <f t="shared" si="189"/>
        <v>0.7441860465</v>
      </c>
      <c r="H72" s="25">
        <v>26.0</v>
      </c>
      <c r="I72" s="25">
        <v>3.0</v>
      </c>
      <c r="J72" s="25">
        <v>2.0</v>
      </c>
      <c r="K72" s="25">
        <v>4.0</v>
      </c>
      <c r="L72" s="25">
        <v>0.0</v>
      </c>
      <c r="M72" s="25">
        <v>0.0</v>
      </c>
      <c r="N72" s="25">
        <v>34.0</v>
      </c>
      <c r="O72" s="25">
        <v>32.0</v>
      </c>
      <c r="P72" s="25">
        <v>20.0</v>
      </c>
      <c r="Q72" s="25">
        <v>10.0</v>
      </c>
      <c r="R72" s="25">
        <v>2.0</v>
      </c>
      <c r="S72" s="25">
        <v>7.0</v>
      </c>
      <c r="T72" s="25">
        <v>3.0</v>
      </c>
      <c r="U72" s="25">
        <v>0.0</v>
      </c>
      <c r="V72" s="25">
        <v>0.0</v>
      </c>
      <c r="W72" s="25">
        <v>2.0</v>
      </c>
      <c r="X72" s="25">
        <v>10.0</v>
      </c>
      <c r="Y72" s="25">
        <v>10.0</v>
      </c>
      <c r="Z72" s="25"/>
      <c r="AA72" s="25"/>
      <c r="AB72" s="25">
        <f t="shared" ref="AB72:AC72" si="190">PRODUCT(T72,2)</f>
        <v>6</v>
      </c>
      <c r="AC72" s="25">
        <f t="shared" si="190"/>
        <v>0</v>
      </c>
      <c r="AD72" s="25">
        <f t="shared" ref="AD72:AE72" si="191">PRODUCT(V72,3)</f>
        <v>0</v>
      </c>
      <c r="AE72" s="25">
        <f t="shared" si="191"/>
        <v>6</v>
      </c>
      <c r="AF72" s="25">
        <f t="shared" ref="AF72:AG72" si="192">PRODUCT(X72,4)</f>
        <v>40</v>
      </c>
      <c r="AG72" s="25">
        <f t="shared" si="192"/>
        <v>40</v>
      </c>
      <c r="AH72" s="25"/>
      <c r="AI72" s="25"/>
      <c r="AJ72" s="25">
        <f t="shared" ref="AJ72:AK72" si="193">SUM(AB72,AD72,AF72)</f>
        <v>46</v>
      </c>
      <c r="AK72" s="25">
        <f t="shared" si="193"/>
        <v>46</v>
      </c>
      <c r="AL72" s="25">
        <v>174.0</v>
      </c>
    </row>
    <row r="73">
      <c r="A73" s="13" t="s">
        <v>146</v>
      </c>
      <c r="B73" s="13" t="s">
        <v>58</v>
      </c>
      <c r="C73" s="13">
        <v>10.0</v>
      </c>
      <c r="D73" s="13">
        <v>16.0</v>
      </c>
      <c r="E73" s="13">
        <v>12.0</v>
      </c>
      <c r="F73" s="13">
        <f t="shared" si="188"/>
        <v>28</v>
      </c>
      <c r="G73" s="90">
        <f>PRODUCT(D73,(1/F73))</f>
        <v>0.5714285714</v>
      </c>
      <c r="H73" s="13">
        <v>9.0</v>
      </c>
      <c r="I73" s="13">
        <v>10.0</v>
      </c>
      <c r="J73" s="13">
        <v>0.0</v>
      </c>
      <c r="K73" s="13">
        <v>0.0</v>
      </c>
      <c r="L73" s="13">
        <v>0.0</v>
      </c>
      <c r="M73" s="13">
        <v>0.0</v>
      </c>
      <c r="N73" s="13">
        <v>8.0</v>
      </c>
      <c r="O73" s="13">
        <v>31.0</v>
      </c>
      <c r="P73" s="13">
        <v>4.0</v>
      </c>
      <c r="Q73" s="13">
        <v>9.0</v>
      </c>
      <c r="R73" s="13">
        <v>11.0</v>
      </c>
      <c r="S73" s="13">
        <v>6.0</v>
      </c>
      <c r="T73" s="13">
        <v>4.0</v>
      </c>
      <c r="U73" s="13">
        <v>3.0</v>
      </c>
      <c r="V73" s="13">
        <v>1.0</v>
      </c>
      <c r="W73" s="13">
        <v>4.0</v>
      </c>
      <c r="X73" s="81">
        <v>0.0</v>
      </c>
      <c r="Y73" s="81">
        <v>0.0</v>
      </c>
      <c r="Z73" s="13"/>
      <c r="AA73" s="13"/>
      <c r="AB73" s="13">
        <f t="shared" ref="AB73:AC73" si="194">PRODUCT(T73,2)</f>
        <v>8</v>
      </c>
      <c r="AC73" s="13">
        <f t="shared" si="194"/>
        <v>6</v>
      </c>
      <c r="AD73" s="13">
        <f t="shared" ref="AD73:AE73" si="195">PRODUCT(V73,3)</f>
        <v>3</v>
      </c>
      <c r="AE73" s="13">
        <f t="shared" si="195"/>
        <v>12</v>
      </c>
      <c r="AF73" s="13">
        <f t="shared" ref="AF73:AG73" si="196">PRODUCT(X73,4)</f>
        <v>0</v>
      </c>
      <c r="AG73" s="13">
        <f t="shared" si="196"/>
        <v>0</v>
      </c>
      <c r="AH73" s="13"/>
      <c r="AI73" s="13"/>
      <c r="AJ73" s="13">
        <f t="shared" ref="AJ73:AK73" si="197">SUM(AB73,AD73,AF73)</f>
        <v>11</v>
      </c>
      <c r="AK73" s="13">
        <f t="shared" si="197"/>
        <v>18</v>
      </c>
      <c r="AL73" s="13">
        <v>37.0</v>
      </c>
    </row>
    <row r="74">
      <c r="A74" s="75" t="s">
        <v>106</v>
      </c>
      <c r="B74" s="75" t="s">
        <v>142</v>
      </c>
      <c r="C74" s="75"/>
      <c r="D74" s="75">
        <v>1.0</v>
      </c>
      <c r="E74" s="75">
        <v>18.0</v>
      </c>
      <c r="F74" s="75"/>
      <c r="G74" s="87">
        <f t="shared" ref="G74:G82" si="198">PRODUCT(D74,(1/(D74+E74)))</f>
        <v>0.05263157895</v>
      </c>
      <c r="H74" s="75">
        <v>1.0</v>
      </c>
      <c r="I74" s="75"/>
      <c r="J74" s="75">
        <v>0.0</v>
      </c>
      <c r="K74" s="75"/>
      <c r="L74" s="75">
        <v>0.0</v>
      </c>
      <c r="M74" s="75"/>
      <c r="N74" s="75">
        <v>8.0</v>
      </c>
      <c r="O74" s="75"/>
      <c r="P74" s="75">
        <v>2.0</v>
      </c>
      <c r="Q74" s="75"/>
      <c r="R74" s="75">
        <v>6.0</v>
      </c>
      <c r="S74" s="75"/>
      <c r="T74" s="75">
        <v>2.0</v>
      </c>
      <c r="U74" s="75"/>
      <c r="V74" s="75">
        <v>0.0</v>
      </c>
      <c r="W74" s="75"/>
      <c r="X74" s="108"/>
      <c r="Y74" s="108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>
        <v>4.0</v>
      </c>
      <c r="AK74" s="75"/>
      <c r="AL74" s="75">
        <v>6.0</v>
      </c>
    </row>
    <row r="75">
      <c r="A75" s="81" t="s">
        <v>106</v>
      </c>
      <c r="B75" s="81" t="s">
        <v>143</v>
      </c>
      <c r="C75" s="81"/>
      <c r="D75" s="81">
        <v>3.0</v>
      </c>
      <c r="E75" s="81">
        <v>14.0</v>
      </c>
      <c r="F75" s="81"/>
      <c r="G75" s="89">
        <f t="shared" si="198"/>
        <v>0.1764705882</v>
      </c>
      <c r="H75" s="81">
        <v>2.0</v>
      </c>
      <c r="I75" s="81"/>
      <c r="J75" s="81">
        <v>0.0</v>
      </c>
      <c r="K75" s="81"/>
      <c r="L75" s="81">
        <v>0.0</v>
      </c>
      <c r="M75" s="81"/>
      <c r="N75" s="81">
        <v>10.0</v>
      </c>
      <c r="O75" s="81"/>
      <c r="P75" s="81">
        <v>2.0</v>
      </c>
      <c r="Q75" s="81"/>
      <c r="R75" s="81">
        <v>6.0</v>
      </c>
      <c r="S75" s="81"/>
      <c r="T75" s="81">
        <v>2.0</v>
      </c>
      <c r="U75" s="81"/>
      <c r="V75" s="81">
        <v>0.0</v>
      </c>
      <c r="W75" s="81"/>
      <c r="X75" s="103"/>
      <c r="Y75" s="103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>
        <v>4.0</v>
      </c>
      <c r="AK75" s="81"/>
      <c r="AL75" s="81">
        <v>15.0</v>
      </c>
    </row>
    <row r="76">
      <c r="A76" s="75" t="s">
        <v>107</v>
      </c>
      <c r="B76" s="75" t="s">
        <v>143</v>
      </c>
      <c r="C76" s="75">
        <v>10.0</v>
      </c>
      <c r="D76" s="75">
        <v>9.0</v>
      </c>
      <c r="E76" s="75">
        <v>9.0</v>
      </c>
      <c r="F76" s="75"/>
      <c r="G76" s="87">
        <f t="shared" si="198"/>
        <v>0.5</v>
      </c>
      <c r="H76" s="75">
        <v>5.0</v>
      </c>
      <c r="I76" s="75"/>
      <c r="J76" s="75">
        <v>0.0</v>
      </c>
      <c r="K76" s="75"/>
      <c r="L76" s="75">
        <v>1.0</v>
      </c>
      <c r="M76" s="75"/>
      <c r="N76" s="75">
        <v>9.0</v>
      </c>
      <c r="O76" s="75"/>
      <c r="P76" s="75">
        <v>6.0</v>
      </c>
      <c r="Q76" s="75"/>
      <c r="R76" s="75">
        <v>0.0</v>
      </c>
      <c r="S76" s="75"/>
      <c r="T76" s="75">
        <v>1.0</v>
      </c>
      <c r="U76" s="75"/>
      <c r="V76" s="75">
        <v>2.0</v>
      </c>
      <c r="W76" s="75"/>
      <c r="X76" s="108"/>
      <c r="Y76" s="108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>
        <v>8.0</v>
      </c>
      <c r="AK76" s="75"/>
      <c r="AL76" s="75">
        <v>52.0</v>
      </c>
    </row>
    <row r="77">
      <c r="A77" s="81" t="s">
        <v>107</v>
      </c>
      <c r="B77" s="81" t="s">
        <v>144</v>
      </c>
      <c r="C77" s="81">
        <v>11.0</v>
      </c>
      <c r="D77" s="81">
        <v>1.0</v>
      </c>
      <c r="E77" s="81">
        <v>7.0</v>
      </c>
      <c r="F77" s="81"/>
      <c r="G77" s="89">
        <f t="shared" si="198"/>
        <v>0.125</v>
      </c>
      <c r="H77" s="81">
        <v>1.0</v>
      </c>
      <c r="I77" s="81"/>
      <c r="J77" s="81">
        <v>0.0</v>
      </c>
      <c r="K77" s="81"/>
      <c r="L77" s="81">
        <v>0.0</v>
      </c>
      <c r="M77" s="81"/>
      <c r="N77" s="81">
        <v>0.0</v>
      </c>
      <c r="O77" s="81"/>
      <c r="P77" s="81">
        <v>1.0</v>
      </c>
      <c r="Q77" s="81"/>
      <c r="R77" s="81">
        <v>1.0</v>
      </c>
      <c r="S77" s="81"/>
      <c r="T77" s="81">
        <v>0.0</v>
      </c>
      <c r="U77" s="81"/>
      <c r="V77" s="81">
        <v>0.0</v>
      </c>
      <c r="W77" s="81"/>
      <c r="X77" s="103"/>
      <c r="Y77" s="103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>
        <v>0.0</v>
      </c>
      <c r="AK77" s="81"/>
      <c r="AL77" s="81">
        <v>6.0</v>
      </c>
    </row>
    <row r="78">
      <c r="A78" s="75" t="s">
        <v>107</v>
      </c>
      <c r="B78" s="75" t="s">
        <v>51</v>
      </c>
      <c r="C78" s="75">
        <v>12.0</v>
      </c>
      <c r="D78" s="75">
        <v>8.0</v>
      </c>
      <c r="E78" s="75">
        <v>3.0</v>
      </c>
      <c r="F78" s="75"/>
      <c r="G78" s="87">
        <f t="shared" si="198"/>
        <v>0.7272727273</v>
      </c>
      <c r="H78" s="75">
        <v>7.0</v>
      </c>
      <c r="I78" s="75"/>
      <c r="J78" s="75">
        <v>0.0</v>
      </c>
      <c r="K78" s="75"/>
      <c r="L78" s="75">
        <v>1.0</v>
      </c>
      <c r="M78" s="75"/>
      <c r="N78" s="75">
        <v>10.0</v>
      </c>
      <c r="O78" s="75"/>
      <c r="P78" s="75">
        <v>3.0</v>
      </c>
      <c r="Q78" s="75"/>
      <c r="R78" s="75">
        <v>3.0</v>
      </c>
      <c r="S78" s="75"/>
      <c r="T78" s="75">
        <v>1.0</v>
      </c>
      <c r="U78" s="75"/>
      <c r="V78" s="75">
        <v>7.0</v>
      </c>
      <c r="W78" s="75"/>
      <c r="X78" s="108"/>
      <c r="Y78" s="108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>
        <v>23.0</v>
      </c>
      <c r="AK78" s="75"/>
      <c r="AL78" s="75">
        <v>46.0</v>
      </c>
    </row>
    <row r="79">
      <c r="A79" s="81" t="s">
        <v>108</v>
      </c>
      <c r="B79" s="81" t="s">
        <v>142</v>
      </c>
      <c r="C79" s="81"/>
      <c r="D79" s="81">
        <v>3.0</v>
      </c>
      <c r="E79" s="81">
        <v>11.0</v>
      </c>
      <c r="F79" s="81"/>
      <c r="G79" s="89">
        <f t="shared" si="198"/>
        <v>0.2142857143</v>
      </c>
      <c r="H79" s="81">
        <v>2.0</v>
      </c>
      <c r="I79" s="81"/>
      <c r="J79" s="81">
        <v>0.0</v>
      </c>
      <c r="K79" s="81"/>
      <c r="L79" s="81">
        <v>0.0</v>
      </c>
      <c r="M79" s="81"/>
      <c r="N79" s="81">
        <v>3.0</v>
      </c>
      <c r="O79" s="81"/>
      <c r="P79" s="81">
        <v>2.0</v>
      </c>
      <c r="Q79" s="81"/>
      <c r="R79" s="81">
        <v>2.0</v>
      </c>
      <c r="S79" s="81"/>
      <c r="T79" s="81">
        <v>2.0</v>
      </c>
      <c r="U79" s="81"/>
      <c r="V79" s="81">
        <v>1.0</v>
      </c>
      <c r="W79" s="81"/>
      <c r="X79" s="103"/>
      <c r="Y79" s="103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>
        <v>7.0</v>
      </c>
      <c r="AK79" s="81"/>
      <c r="AL79" s="81">
        <v>15.0</v>
      </c>
    </row>
    <row r="80">
      <c r="A80" s="25" t="s">
        <v>108</v>
      </c>
      <c r="B80" s="75" t="s">
        <v>143</v>
      </c>
      <c r="C80" s="75"/>
      <c r="D80" s="75">
        <v>8.0</v>
      </c>
      <c r="E80" s="75">
        <v>10.0</v>
      </c>
      <c r="F80" s="75"/>
      <c r="G80" s="87">
        <f t="shared" si="198"/>
        <v>0.4444444444</v>
      </c>
      <c r="H80" s="75">
        <v>7.0</v>
      </c>
      <c r="I80" s="75"/>
      <c r="J80" s="75">
        <v>0.0</v>
      </c>
      <c r="K80" s="75"/>
      <c r="L80" s="75">
        <v>0.0</v>
      </c>
      <c r="M80" s="75"/>
      <c r="N80" s="75">
        <v>9.0</v>
      </c>
      <c r="O80" s="75"/>
      <c r="P80" s="75">
        <v>6.0</v>
      </c>
      <c r="Q80" s="75"/>
      <c r="R80" s="75">
        <v>13.0</v>
      </c>
      <c r="S80" s="75"/>
      <c r="T80" s="75">
        <v>5.0</v>
      </c>
      <c r="U80" s="75"/>
      <c r="V80" s="75">
        <v>1.0</v>
      </c>
      <c r="W80" s="75"/>
      <c r="X80" s="108"/>
      <c r="Y80" s="108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>
        <v>13.0</v>
      </c>
      <c r="AK80" s="75"/>
      <c r="AL80" s="75">
        <v>45.0</v>
      </c>
    </row>
    <row r="81">
      <c r="A81" s="81" t="s">
        <v>109</v>
      </c>
      <c r="B81" s="81" t="s">
        <v>51</v>
      </c>
      <c r="C81" s="81">
        <v>10.0</v>
      </c>
      <c r="D81" s="81">
        <v>5.0</v>
      </c>
      <c r="E81" s="81">
        <v>16.0</v>
      </c>
      <c r="F81" s="81"/>
      <c r="G81" s="89">
        <f t="shared" si="198"/>
        <v>0.2380952381</v>
      </c>
      <c r="H81" s="81">
        <v>3.0</v>
      </c>
      <c r="I81" s="81"/>
      <c r="J81" s="81">
        <v>0.0</v>
      </c>
      <c r="K81" s="81"/>
      <c r="L81" s="81">
        <v>0.0</v>
      </c>
      <c r="M81" s="81"/>
      <c r="N81" s="81">
        <v>7.0</v>
      </c>
      <c r="O81" s="81"/>
      <c r="P81" s="81">
        <v>5.0</v>
      </c>
      <c r="Q81" s="81"/>
      <c r="R81" s="81">
        <v>2.0</v>
      </c>
      <c r="S81" s="81"/>
      <c r="T81" s="81">
        <v>0.0</v>
      </c>
      <c r="U81" s="81"/>
      <c r="V81" s="81">
        <v>1.0</v>
      </c>
      <c r="W81" s="81"/>
      <c r="X81" s="103"/>
      <c r="Y81" s="103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>
        <v>3.0</v>
      </c>
      <c r="AK81" s="81"/>
      <c r="AL81" s="81">
        <v>30.0</v>
      </c>
    </row>
    <row r="82">
      <c r="A82" s="75" t="s">
        <v>25</v>
      </c>
      <c r="B82" s="75" t="s">
        <v>51</v>
      </c>
      <c r="C82" s="75">
        <v>11.0</v>
      </c>
      <c r="D82" s="75">
        <v>1.0</v>
      </c>
      <c r="E82" s="75">
        <v>7.0</v>
      </c>
      <c r="F82" s="75"/>
      <c r="G82" s="87">
        <f t="shared" si="198"/>
        <v>0.125</v>
      </c>
      <c r="H82" s="75">
        <v>1.0</v>
      </c>
      <c r="I82" s="75"/>
      <c r="J82" s="75">
        <v>0.0</v>
      </c>
      <c r="K82" s="75"/>
      <c r="L82" s="75">
        <v>0.0</v>
      </c>
      <c r="M82" s="75"/>
      <c r="N82" s="75">
        <v>4.0</v>
      </c>
      <c r="O82" s="75"/>
      <c r="P82" s="75">
        <v>3.0</v>
      </c>
      <c r="Q82" s="75"/>
      <c r="R82" s="75">
        <v>6.0</v>
      </c>
      <c r="S82" s="75"/>
      <c r="T82" s="75">
        <v>2.0</v>
      </c>
      <c r="U82" s="75"/>
      <c r="V82" s="75">
        <v>1.0</v>
      </c>
      <c r="W82" s="75"/>
      <c r="X82" s="108"/>
      <c r="Y82" s="108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>
        <v>7.0</v>
      </c>
      <c r="AK82" s="75"/>
      <c r="AL82" s="75">
        <v>6.0</v>
      </c>
    </row>
    <row r="83">
      <c r="A83" s="13" t="s">
        <v>25</v>
      </c>
      <c r="B83" s="13" t="s">
        <v>58</v>
      </c>
      <c r="C83" s="13">
        <v>12.0</v>
      </c>
      <c r="D83" s="13">
        <v>8.0</v>
      </c>
      <c r="E83" s="13">
        <v>10.0</v>
      </c>
      <c r="F83" s="13">
        <f t="shared" ref="F83:F86" si="203">SUM(D83:E83)</f>
        <v>18</v>
      </c>
      <c r="G83" s="90">
        <f t="shared" ref="G83:G84" si="204">PRODUCT(D83,(1/F83))</f>
        <v>0.4444444444</v>
      </c>
      <c r="H83" s="13">
        <v>3.0</v>
      </c>
      <c r="I83" s="13">
        <v>8.0</v>
      </c>
      <c r="J83" s="13">
        <v>0.0</v>
      </c>
      <c r="K83" s="13">
        <v>0.0</v>
      </c>
      <c r="L83" s="13">
        <v>0.0</v>
      </c>
      <c r="M83" s="13">
        <v>2.0</v>
      </c>
      <c r="N83" s="13">
        <v>10.0</v>
      </c>
      <c r="O83" s="13">
        <v>17.0</v>
      </c>
      <c r="P83" s="13">
        <v>9.0</v>
      </c>
      <c r="Q83" s="13">
        <v>4.0</v>
      </c>
      <c r="R83" s="13">
        <v>2.0</v>
      </c>
      <c r="S83" s="13">
        <v>5.0</v>
      </c>
      <c r="T83" s="13">
        <v>1.0</v>
      </c>
      <c r="U83" s="13">
        <v>7.0</v>
      </c>
      <c r="V83" s="13">
        <v>3.0</v>
      </c>
      <c r="W83" s="13">
        <v>5.0</v>
      </c>
      <c r="X83" s="81">
        <v>0.0</v>
      </c>
      <c r="Y83" s="81">
        <v>0.0</v>
      </c>
      <c r="Z83" s="13"/>
      <c r="AA83" s="13"/>
      <c r="AB83" s="13">
        <f t="shared" ref="AB83:AC83" si="199">PRODUCT(T83,2)</f>
        <v>2</v>
      </c>
      <c r="AC83" s="13">
        <f t="shared" si="199"/>
        <v>14</v>
      </c>
      <c r="AD83" s="13">
        <f t="shared" ref="AD83:AE83" si="200">PRODUCT(V83,3)</f>
        <v>9</v>
      </c>
      <c r="AE83" s="13">
        <f t="shared" si="200"/>
        <v>15</v>
      </c>
      <c r="AF83" s="13">
        <f t="shared" ref="AF83:AG83" si="201">PRODUCT(X83,4)</f>
        <v>0</v>
      </c>
      <c r="AG83" s="13">
        <f t="shared" si="201"/>
        <v>0</v>
      </c>
      <c r="AH83" s="13"/>
      <c r="AI83" s="13"/>
      <c r="AJ83" s="13">
        <f t="shared" ref="AJ83:AK83" si="202">SUM(AB83,AD83,AF83)</f>
        <v>11</v>
      </c>
      <c r="AK83" s="13">
        <f t="shared" si="202"/>
        <v>29</v>
      </c>
      <c r="AL83" s="13">
        <v>18.0</v>
      </c>
    </row>
    <row r="84">
      <c r="A84" s="25" t="s">
        <v>110</v>
      </c>
      <c r="B84" s="25" t="s">
        <v>58</v>
      </c>
      <c r="C84" s="25">
        <v>10.0</v>
      </c>
      <c r="D84" s="25">
        <v>14.0</v>
      </c>
      <c r="E84" s="25">
        <v>5.0</v>
      </c>
      <c r="F84" s="25">
        <f t="shared" si="203"/>
        <v>19</v>
      </c>
      <c r="G84" s="82">
        <f t="shared" si="204"/>
        <v>0.7368421053</v>
      </c>
      <c r="H84" s="25">
        <v>8.0</v>
      </c>
      <c r="I84" s="25">
        <v>4.0</v>
      </c>
      <c r="J84" s="25">
        <v>0.0</v>
      </c>
      <c r="K84" s="25">
        <v>0.0</v>
      </c>
      <c r="L84" s="25">
        <v>0.0</v>
      </c>
      <c r="M84" s="25">
        <v>0.0</v>
      </c>
      <c r="N84" s="25">
        <v>13.0</v>
      </c>
      <c r="O84" s="25">
        <v>14.0</v>
      </c>
      <c r="P84" s="25">
        <v>8.0</v>
      </c>
      <c r="Q84" s="25">
        <v>2.0</v>
      </c>
      <c r="R84" s="25">
        <v>2.0</v>
      </c>
      <c r="S84" s="25">
        <v>3.0</v>
      </c>
      <c r="T84" s="25">
        <v>0.0</v>
      </c>
      <c r="U84" s="25">
        <v>0.0</v>
      </c>
      <c r="V84" s="25">
        <v>4.0</v>
      </c>
      <c r="W84" s="25">
        <v>0.0</v>
      </c>
      <c r="X84" s="75">
        <v>0.0</v>
      </c>
      <c r="Y84" s="75">
        <v>0.0</v>
      </c>
      <c r="Z84" s="25"/>
      <c r="AA84" s="25"/>
      <c r="AB84" s="25">
        <f t="shared" ref="AB84:AC84" si="205">PRODUCT(T84,2)</f>
        <v>0</v>
      </c>
      <c r="AC84" s="25">
        <f t="shared" si="205"/>
        <v>0</v>
      </c>
      <c r="AD84" s="25">
        <f t="shared" ref="AD84:AE84" si="206">PRODUCT(V84,3)</f>
        <v>12</v>
      </c>
      <c r="AE84" s="25">
        <f t="shared" si="206"/>
        <v>0</v>
      </c>
      <c r="AF84" s="25">
        <f t="shared" ref="AF84:AG84" si="207">PRODUCT(X84,4)</f>
        <v>0</v>
      </c>
      <c r="AG84" s="25">
        <f t="shared" si="207"/>
        <v>0</v>
      </c>
      <c r="AH84" s="25"/>
      <c r="AI84" s="25"/>
      <c r="AJ84" s="25">
        <f t="shared" ref="AJ84:AK84" si="208">SUM(AB84,AD84,AF84)</f>
        <v>12</v>
      </c>
      <c r="AK84" s="25">
        <f t="shared" si="208"/>
        <v>0</v>
      </c>
      <c r="AL84" s="25">
        <v>44.0</v>
      </c>
    </row>
    <row r="85">
      <c r="A85" s="13" t="s">
        <v>110</v>
      </c>
      <c r="B85" s="81" t="s">
        <v>59</v>
      </c>
      <c r="C85" s="13">
        <v>11.0</v>
      </c>
      <c r="D85" s="13">
        <v>9.0</v>
      </c>
      <c r="E85" s="13">
        <v>6.0</v>
      </c>
      <c r="F85" s="13">
        <f t="shared" si="203"/>
        <v>15</v>
      </c>
      <c r="G85" s="42">
        <f t="shared" ref="G85:G86" si="213">PRODUCT(D85, (1/F85))</f>
        <v>0.6</v>
      </c>
      <c r="H85" s="13">
        <v>8.0</v>
      </c>
      <c r="I85" s="13">
        <v>4.0</v>
      </c>
      <c r="J85" s="13">
        <v>0.0</v>
      </c>
      <c r="K85" s="13">
        <v>0.0</v>
      </c>
      <c r="L85" s="13">
        <v>0.0</v>
      </c>
      <c r="M85" s="13">
        <v>1.0</v>
      </c>
      <c r="N85" s="13">
        <v>10.0</v>
      </c>
      <c r="O85" s="13">
        <v>13.0</v>
      </c>
      <c r="P85" s="13">
        <v>7.0</v>
      </c>
      <c r="Q85" s="13">
        <v>2.0</v>
      </c>
      <c r="R85" s="13">
        <v>1.0</v>
      </c>
      <c r="S85" s="13">
        <v>3.0</v>
      </c>
      <c r="T85" s="13">
        <v>1.0</v>
      </c>
      <c r="U85" s="13">
        <v>1.0</v>
      </c>
      <c r="V85" s="13">
        <v>2.0</v>
      </c>
      <c r="W85" s="13">
        <v>4.0</v>
      </c>
      <c r="X85" s="81">
        <v>0.0</v>
      </c>
      <c r="Y85" s="81">
        <v>0.0</v>
      </c>
      <c r="Z85" s="13"/>
      <c r="AA85" s="13"/>
      <c r="AB85" s="13">
        <f t="shared" ref="AB85:AC85" si="209">PRODUCT(T85,2)</f>
        <v>2</v>
      </c>
      <c r="AC85" s="13">
        <f t="shared" si="209"/>
        <v>2</v>
      </c>
      <c r="AD85" s="13">
        <f t="shared" ref="AD85:AE85" si="210">PRODUCT(V85,3)</f>
        <v>6</v>
      </c>
      <c r="AE85" s="13">
        <f t="shared" si="210"/>
        <v>12</v>
      </c>
      <c r="AF85" s="13">
        <f t="shared" ref="AF85:AG85" si="211">PRODUCT(X85,4)</f>
        <v>0</v>
      </c>
      <c r="AG85" s="13">
        <f t="shared" si="211"/>
        <v>0</v>
      </c>
      <c r="AH85" s="13"/>
      <c r="AI85" s="13"/>
      <c r="AJ85" s="13">
        <f t="shared" ref="AJ85:AK85" si="212">SUM(AB85,AD85,AF85)</f>
        <v>8</v>
      </c>
      <c r="AK85" s="13">
        <f t="shared" si="212"/>
        <v>14</v>
      </c>
      <c r="AL85" s="13">
        <v>38.0</v>
      </c>
    </row>
    <row r="86">
      <c r="A86" s="25" t="s">
        <v>110</v>
      </c>
      <c r="B86" s="75" t="s">
        <v>50</v>
      </c>
      <c r="C86" s="25">
        <v>12.0</v>
      </c>
      <c r="D86" s="25">
        <v>18.0</v>
      </c>
      <c r="E86" s="25">
        <v>22.0</v>
      </c>
      <c r="F86" s="25">
        <f t="shared" si="203"/>
        <v>40</v>
      </c>
      <c r="G86" s="43">
        <f t="shared" si="213"/>
        <v>0.45</v>
      </c>
      <c r="H86" s="25">
        <v>13.0</v>
      </c>
      <c r="I86" s="25">
        <v>10.0</v>
      </c>
      <c r="J86" s="25">
        <v>0.0</v>
      </c>
      <c r="K86" s="25">
        <v>2.0</v>
      </c>
      <c r="L86" s="25">
        <v>0.0</v>
      </c>
      <c r="M86" s="25">
        <v>0.0</v>
      </c>
      <c r="N86" s="25">
        <v>22.0</v>
      </c>
      <c r="O86" s="25">
        <v>72.0</v>
      </c>
      <c r="P86" s="25">
        <v>58.0</v>
      </c>
      <c r="Q86" s="25">
        <v>13.0</v>
      </c>
      <c r="R86" s="25">
        <v>3.0</v>
      </c>
      <c r="S86" s="25">
        <v>8.0</v>
      </c>
      <c r="T86" s="25">
        <v>3.0</v>
      </c>
      <c r="U86" s="25">
        <v>1.0</v>
      </c>
      <c r="V86" s="25">
        <v>1.0</v>
      </c>
      <c r="W86" s="25">
        <v>1.0</v>
      </c>
      <c r="X86" s="25">
        <v>0.0</v>
      </c>
      <c r="Y86" s="25">
        <v>6.0</v>
      </c>
      <c r="Z86" s="25"/>
      <c r="AA86" s="25"/>
      <c r="AB86" s="25">
        <f t="shared" ref="AB86:AC86" si="214">PRODUCT(T86,2)</f>
        <v>6</v>
      </c>
      <c r="AC86" s="25">
        <f t="shared" si="214"/>
        <v>2</v>
      </c>
      <c r="AD86" s="25">
        <f t="shared" ref="AD86:AE86" si="215">PRODUCT(V86,3)</f>
        <v>3</v>
      </c>
      <c r="AE86" s="25">
        <f t="shared" si="215"/>
        <v>3</v>
      </c>
      <c r="AF86" s="25">
        <f t="shared" ref="AF86:AG86" si="216">PRODUCT(X86,4)</f>
        <v>0</v>
      </c>
      <c r="AG86" s="25">
        <f t="shared" si="216"/>
        <v>24</v>
      </c>
      <c r="AH86" s="25"/>
      <c r="AI86" s="25"/>
      <c r="AJ86" s="25">
        <f t="shared" ref="AJ86:AK86" si="217">SUM(AB86,AD86,AF86)</f>
        <v>9</v>
      </c>
      <c r="AK86" s="25">
        <f t="shared" si="217"/>
        <v>29</v>
      </c>
      <c r="AL86" s="25">
        <v>69.0</v>
      </c>
    </row>
    <row r="87">
      <c r="A87" s="81" t="s">
        <v>111</v>
      </c>
      <c r="B87" s="81" t="s">
        <v>51</v>
      </c>
      <c r="C87" s="81">
        <v>10.0</v>
      </c>
      <c r="D87" s="81">
        <v>1.0</v>
      </c>
      <c r="E87" s="81">
        <v>10.0</v>
      </c>
      <c r="F87" s="81"/>
      <c r="G87" s="89">
        <f>PRODUCT(D87,(1/(D87+E87)))</f>
        <v>0.09090909091</v>
      </c>
      <c r="H87" s="81">
        <v>0.0</v>
      </c>
      <c r="I87" s="81"/>
      <c r="J87" s="81">
        <v>0.0</v>
      </c>
      <c r="K87" s="81"/>
      <c r="L87" s="81">
        <v>0.0</v>
      </c>
      <c r="M87" s="81"/>
      <c r="N87" s="81">
        <v>1.0</v>
      </c>
      <c r="O87" s="81"/>
      <c r="P87" s="81">
        <v>2.0</v>
      </c>
      <c r="Q87" s="81"/>
      <c r="R87" s="81">
        <v>0.0</v>
      </c>
      <c r="S87" s="81"/>
      <c r="T87" s="81">
        <v>0.0</v>
      </c>
      <c r="U87" s="81"/>
      <c r="V87" s="81">
        <v>0.0</v>
      </c>
      <c r="W87" s="81"/>
      <c r="X87" s="103"/>
      <c r="Y87" s="103"/>
      <c r="Z87" s="13"/>
      <c r="AA87" s="13"/>
      <c r="AB87" s="13">
        <f t="shared" ref="AB87:AC87" si="218">PRODUCT(T87,2)</f>
        <v>0</v>
      </c>
      <c r="AC87" s="13">
        <f t="shared" si="218"/>
        <v>2</v>
      </c>
      <c r="AD87" s="13">
        <f t="shared" ref="AD87:AE87" si="219">PRODUCT(V87,3)</f>
        <v>0</v>
      </c>
      <c r="AE87" s="13">
        <f t="shared" si="219"/>
        <v>3</v>
      </c>
      <c r="AF87" s="13">
        <f t="shared" ref="AF87:AG87" si="220">PRODUCT(X87,4)</f>
        <v>4</v>
      </c>
      <c r="AG87" s="13">
        <f t="shared" si="220"/>
        <v>4</v>
      </c>
      <c r="AH87" s="13"/>
      <c r="AI87" s="13"/>
      <c r="AJ87" s="13">
        <f>SUM(AB87,AD87,AF87)</f>
        <v>4</v>
      </c>
      <c r="AK87" s="13"/>
      <c r="AL87" s="81">
        <v>6.0</v>
      </c>
    </row>
    <row r="88">
      <c r="A88" s="109" t="s">
        <v>112</v>
      </c>
      <c r="B88" s="109" t="s">
        <v>37</v>
      </c>
      <c r="C88" s="109">
        <v>9.0</v>
      </c>
      <c r="D88" s="109">
        <v>26.0</v>
      </c>
      <c r="E88" s="109">
        <v>14.0</v>
      </c>
      <c r="F88" s="110">
        <f t="shared" ref="F88:F90" si="224">SUM(D88:E88)</f>
        <v>40</v>
      </c>
      <c r="G88" s="110">
        <f>PRODUCT(D88, (1/F88))</f>
        <v>0.65</v>
      </c>
      <c r="H88" s="109">
        <v>16.0</v>
      </c>
      <c r="I88" s="109">
        <v>10.0</v>
      </c>
      <c r="J88" s="109">
        <v>0.0</v>
      </c>
      <c r="K88" s="109">
        <v>0.0</v>
      </c>
      <c r="L88" s="109">
        <v>0.0</v>
      </c>
      <c r="M88" s="109">
        <v>2.0</v>
      </c>
      <c r="N88" s="109">
        <v>27.0</v>
      </c>
      <c r="O88" s="109">
        <v>25.0</v>
      </c>
      <c r="P88" s="109">
        <v>10.0</v>
      </c>
      <c r="Q88" s="109">
        <v>10.0</v>
      </c>
      <c r="R88" s="109">
        <v>8.0</v>
      </c>
      <c r="S88" s="109">
        <v>8.0</v>
      </c>
      <c r="T88" s="109">
        <v>4.0</v>
      </c>
      <c r="U88" s="109">
        <v>2.0</v>
      </c>
      <c r="V88" s="109">
        <v>2.0</v>
      </c>
      <c r="W88" s="109">
        <v>1.0</v>
      </c>
      <c r="X88" s="109">
        <v>4.0</v>
      </c>
      <c r="Y88" s="109">
        <v>2.0</v>
      </c>
      <c r="Z88" s="111"/>
      <c r="AA88" s="111"/>
      <c r="AB88" s="111">
        <v>0.0</v>
      </c>
      <c r="AC88" s="111">
        <v>1.0</v>
      </c>
      <c r="AD88" s="112">
        <f t="shared" ref="AD88:AE88" si="221">PRODUCT(T88,2)</f>
        <v>8</v>
      </c>
      <c r="AE88" s="112">
        <f t="shared" si="221"/>
        <v>4</v>
      </c>
      <c r="AF88" s="112">
        <f t="shared" ref="AF88:AG88" si="222">PRODUCT(V88,3)</f>
        <v>6</v>
      </c>
      <c r="AG88" s="112">
        <f t="shared" si="222"/>
        <v>3</v>
      </c>
      <c r="AH88" s="112">
        <f t="shared" ref="AH88:AI88" si="223">PRODUCT(X88,4)</f>
        <v>16</v>
      </c>
      <c r="AI88" s="112">
        <f t="shared" si="223"/>
        <v>8</v>
      </c>
      <c r="AJ88" s="113">
        <f>PRODUCT(5,AB88)</f>
        <v>0</v>
      </c>
      <c r="AK88" s="113">
        <f>PRODUCT(AC88,5)</f>
        <v>5</v>
      </c>
      <c r="AL88" s="113">
        <v>102.0</v>
      </c>
    </row>
    <row r="89">
      <c r="A89" s="13" t="s">
        <v>113</v>
      </c>
      <c r="B89" s="13" t="s">
        <v>58</v>
      </c>
      <c r="C89" s="13">
        <v>9.0</v>
      </c>
      <c r="D89" s="13">
        <v>6.0</v>
      </c>
      <c r="E89" s="13">
        <v>9.0</v>
      </c>
      <c r="F89" s="13">
        <f t="shared" si="224"/>
        <v>15</v>
      </c>
      <c r="G89" s="90">
        <f>PRODUCT(D89,(1/F89))</f>
        <v>0.4</v>
      </c>
      <c r="H89" s="13">
        <v>5.0</v>
      </c>
      <c r="I89" s="13">
        <v>8.0</v>
      </c>
      <c r="J89" s="13">
        <v>0.0</v>
      </c>
      <c r="K89" s="13">
        <v>0.0</v>
      </c>
      <c r="L89" s="13">
        <v>0.0</v>
      </c>
      <c r="M89" s="13">
        <v>0.0</v>
      </c>
      <c r="N89" s="13">
        <v>9.0</v>
      </c>
      <c r="O89" s="13">
        <v>19.0</v>
      </c>
      <c r="P89" s="13">
        <v>13.0</v>
      </c>
      <c r="Q89" s="13">
        <v>2.0</v>
      </c>
      <c r="R89" s="13">
        <v>2.0</v>
      </c>
      <c r="S89" s="13">
        <v>2.0</v>
      </c>
      <c r="T89" s="13">
        <v>0.0</v>
      </c>
      <c r="U89" s="13">
        <v>3.0</v>
      </c>
      <c r="V89" s="13">
        <v>0.0</v>
      </c>
      <c r="W89" s="13">
        <v>2.0</v>
      </c>
      <c r="X89" s="81">
        <v>0.0</v>
      </c>
      <c r="Y89" s="81">
        <v>0.0</v>
      </c>
      <c r="Z89" s="13"/>
      <c r="AA89" s="13"/>
      <c r="AB89" s="13">
        <f t="shared" ref="AB89:AC89" si="225">PRODUCT(T89,2)</f>
        <v>0</v>
      </c>
      <c r="AC89" s="13">
        <f t="shared" si="225"/>
        <v>6</v>
      </c>
      <c r="AD89" s="13">
        <f t="shared" ref="AD89:AE89" si="226">PRODUCT(V89,3)</f>
        <v>0</v>
      </c>
      <c r="AE89" s="13">
        <f t="shared" si="226"/>
        <v>6</v>
      </c>
      <c r="AF89" s="13">
        <f t="shared" ref="AF89:AG89" si="227">PRODUCT(X89,4)</f>
        <v>0</v>
      </c>
      <c r="AG89" s="13">
        <f t="shared" si="227"/>
        <v>0</v>
      </c>
      <c r="AH89" s="13"/>
      <c r="AI89" s="13"/>
      <c r="AJ89" s="13">
        <f t="shared" ref="AJ89:AK89" si="228">SUM(AB89,AD89,AF89)</f>
        <v>0</v>
      </c>
      <c r="AK89" s="13">
        <f t="shared" si="228"/>
        <v>12</v>
      </c>
      <c r="AL89" s="13">
        <v>23.0</v>
      </c>
    </row>
    <row r="90">
      <c r="A90" s="109" t="s">
        <v>114</v>
      </c>
      <c r="B90" s="109" t="s">
        <v>37</v>
      </c>
      <c r="C90" s="109">
        <v>11.0</v>
      </c>
      <c r="D90" s="109">
        <v>5.0</v>
      </c>
      <c r="E90" s="109">
        <v>19.0</v>
      </c>
      <c r="F90" s="110">
        <f t="shared" si="224"/>
        <v>24</v>
      </c>
      <c r="G90" s="110">
        <f>PRODUCT(D90, (1/F90))</f>
        <v>0.2083333333</v>
      </c>
      <c r="H90" s="109">
        <v>1.0</v>
      </c>
      <c r="I90" s="109">
        <v>16.0</v>
      </c>
      <c r="J90" s="109">
        <v>0.0</v>
      </c>
      <c r="K90" s="109">
        <v>2.0</v>
      </c>
      <c r="L90" s="109">
        <v>0.0</v>
      </c>
      <c r="M90" s="109">
        <v>1.0</v>
      </c>
      <c r="N90" s="109">
        <v>0.0</v>
      </c>
      <c r="O90" s="109">
        <v>29.0</v>
      </c>
      <c r="P90" s="109">
        <v>3.0</v>
      </c>
      <c r="Q90" s="109">
        <v>8.0</v>
      </c>
      <c r="R90" s="109">
        <v>3.0</v>
      </c>
      <c r="S90" s="109">
        <v>4.0</v>
      </c>
      <c r="T90" s="109">
        <v>0.0</v>
      </c>
      <c r="U90" s="109">
        <v>3.0</v>
      </c>
      <c r="V90" s="109">
        <v>0.0</v>
      </c>
      <c r="W90" s="109">
        <v>2.0</v>
      </c>
      <c r="X90" s="109">
        <v>0.0</v>
      </c>
      <c r="Y90" s="109">
        <v>6.0</v>
      </c>
      <c r="Z90" s="111"/>
      <c r="AA90" s="111"/>
      <c r="AB90" s="111">
        <v>0.0</v>
      </c>
      <c r="AC90" s="111">
        <v>0.0</v>
      </c>
      <c r="AD90" s="112">
        <f t="shared" ref="AD90:AE90" si="229">PRODUCT(T90,2)</f>
        <v>0</v>
      </c>
      <c r="AE90" s="112">
        <f t="shared" si="229"/>
        <v>6</v>
      </c>
      <c r="AF90" s="112">
        <f t="shared" ref="AF90:AG90" si="230">PRODUCT(V90,3)</f>
        <v>0</v>
      </c>
      <c r="AG90" s="112">
        <f t="shared" si="230"/>
        <v>6</v>
      </c>
      <c r="AH90" s="112">
        <f t="shared" ref="AH90:AI90" si="231">PRODUCT(X90,4)</f>
        <v>0</v>
      </c>
      <c r="AI90" s="112">
        <f t="shared" si="231"/>
        <v>24</v>
      </c>
      <c r="AJ90" s="113">
        <f>PRODUCT(5,AB90)</f>
        <v>0</v>
      </c>
      <c r="AK90" s="113">
        <f>PRODUCT(AC90,5)</f>
        <v>0</v>
      </c>
      <c r="AL90" s="113">
        <v>6.0</v>
      </c>
    </row>
    <row r="91">
      <c r="A91" s="81" t="s">
        <v>23</v>
      </c>
      <c r="B91" s="81" t="s">
        <v>142</v>
      </c>
      <c r="C91" s="81">
        <v>9.0</v>
      </c>
      <c r="D91" s="81">
        <v>3.0</v>
      </c>
      <c r="E91" s="81">
        <v>3.0</v>
      </c>
      <c r="F91" s="81"/>
      <c r="G91" s="89">
        <f t="shared" ref="G91:G94" si="232">PRODUCT(D91,(1/(D91+E91)))</f>
        <v>0.5</v>
      </c>
      <c r="H91" s="81">
        <v>1.0</v>
      </c>
      <c r="I91" s="81"/>
      <c r="J91" s="81">
        <v>0.0</v>
      </c>
      <c r="K91" s="81"/>
      <c r="L91" s="81">
        <v>0.0</v>
      </c>
      <c r="M91" s="81"/>
      <c r="N91" s="81">
        <v>7.0</v>
      </c>
      <c r="O91" s="81"/>
      <c r="P91" s="81">
        <v>7.0</v>
      </c>
      <c r="Q91" s="81"/>
      <c r="R91" s="81">
        <v>1.0</v>
      </c>
      <c r="S91" s="81"/>
      <c r="T91" s="81">
        <v>0.0</v>
      </c>
      <c r="U91" s="81"/>
      <c r="V91" s="81">
        <v>0.0</v>
      </c>
      <c r="W91" s="81"/>
      <c r="X91" s="103"/>
      <c r="Y91" s="103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>
        <v>0.0</v>
      </c>
      <c r="AK91" s="81"/>
      <c r="AL91" s="81">
        <v>12.0</v>
      </c>
    </row>
    <row r="92">
      <c r="A92" s="75" t="s">
        <v>23</v>
      </c>
      <c r="B92" s="75" t="s">
        <v>143</v>
      </c>
      <c r="C92" s="75">
        <v>10.0</v>
      </c>
      <c r="D92" s="75">
        <v>6.0</v>
      </c>
      <c r="E92" s="75">
        <v>6.0</v>
      </c>
      <c r="F92" s="75"/>
      <c r="G92" s="87">
        <f t="shared" si="232"/>
        <v>0.5</v>
      </c>
      <c r="H92" s="75">
        <v>4.0</v>
      </c>
      <c r="I92" s="75"/>
      <c r="J92" s="75">
        <v>0.0</v>
      </c>
      <c r="K92" s="75"/>
      <c r="L92" s="75">
        <v>0.0</v>
      </c>
      <c r="M92" s="75"/>
      <c r="N92" s="75">
        <v>10.0</v>
      </c>
      <c r="O92" s="75"/>
      <c r="P92" s="75">
        <v>7.0</v>
      </c>
      <c r="Q92" s="75"/>
      <c r="R92" s="75">
        <v>4.0</v>
      </c>
      <c r="S92" s="75"/>
      <c r="T92" s="75">
        <v>2.0</v>
      </c>
      <c r="U92" s="75"/>
      <c r="V92" s="75">
        <v>0.0</v>
      </c>
      <c r="W92" s="75"/>
      <c r="X92" s="108"/>
      <c r="Y92" s="108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>
        <v>4.0</v>
      </c>
      <c r="AK92" s="75"/>
      <c r="AL92" s="75">
        <v>30.0</v>
      </c>
    </row>
    <row r="93">
      <c r="A93" s="81" t="s">
        <v>23</v>
      </c>
      <c r="B93" s="81" t="s">
        <v>51</v>
      </c>
      <c r="C93" s="81">
        <v>12.0</v>
      </c>
      <c r="D93" s="81">
        <v>8.0</v>
      </c>
      <c r="E93" s="81">
        <v>3.0</v>
      </c>
      <c r="F93" s="81"/>
      <c r="G93" s="89">
        <f t="shared" si="232"/>
        <v>0.7272727273</v>
      </c>
      <c r="H93" s="81">
        <v>6.0</v>
      </c>
      <c r="I93" s="81"/>
      <c r="J93" s="81">
        <v>0.0</v>
      </c>
      <c r="K93" s="81"/>
      <c r="L93" s="81">
        <v>1.0</v>
      </c>
      <c r="M93" s="81"/>
      <c r="N93" s="81">
        <v>12.0</v>
      </c>
      <c r="O93" s="81"/>
      <c r="P93" s="81">
        <v>2.0</v>
      </c>
      <c r="Q93" s="81"/>
      <c r="R93" s="81">
        <v>5.0</v>
      </c>
      <c r="S93" s="81"/>
      <c r="T93" s="81">
        <v>1.0</v>
      </c>
      <c r="U93" s="81"/>
      <c r="V93" s="81">
        <v>1.0</v>
      </c>
      <c r="W93" s="81"/>
      <c r="X93" s="103"/>
      <c r="Y93" s="103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>
        <v>5.0</v>
      </c>
      <c r="AK93" s="81"/>
      <c r="AL93" s="81">
        <v>43.0</v>
      </c>
    </row>
    <row r="94">
      <c r="A94" s="75" t="s">
        <v>117</v>
      </c>
      <c r="B94" s="75" t="s">
        <v>142</v>
      </c>
      <c r="C94" s="75"/>
      <c r="D94" s="75">
        <v>0.0</v>
      </c>
      <c r="E94" s="75">
        <v>1.0</v>
      </c>
      <c r="F94" s="75"/>
      <c r="G94" s="87">
        <f t="shared" si="232"/>
        <v>0</v>
      </c>
      <c r="H94" s="75">
        <v>0.0</v>
      </c>
      <c r="I94" s="75"/>
      <c r="J94" s="75">
        <v>0.0</v>
      </c>
      <c r="K94" s="75"/>
      <c r="L94" s="75">
        <v>0.0</v>
      </c>
      <c r="M94" s="75"/>
      <c r="N94" s="75">
        <v>0.0</v>
      </c>
      <c r="O94" s="75"/>
      <c r="P94" s="75">
        <v>1.0</v>
      </c>
      <c r="Q94" s="75"/>
      <c r="R94" s="75">
        <v>1.0</v>
      </c>
      <c r="S94" s="75"/>
      <c r="T94" s="75">
        <v>0.0</v>
      </c>
      <c r="U94" s="75"/>
      <c r="V94" s="75">
        <v>0.0</v>
      </c>
      <c r="W94" s="75"/>
      <c r="X94" s="108"/>
      <c r="Y94" s="108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>
        <v>0.0</v>
      </c>
      <c r="AK94" s="75"/>
      <c r="AL94" s="75">
        <v>0.0</v>
      </c>
    </row>
    <row r="95">
      <c r="A95" s="13" t="s">
        <v>118</v>
      </c>
      <c r="B95" s="81" t="s">
        <v>59</v>
      </c>
      <c r="C95" s="13">
        <v>9.0</v>
      </c>
      <c r="D95" s="13">
        <v>10.0</v>
      </c>
      <c r="E95" s="13">
        <v>9.0</v>
      </c>
      <c r="F95" s="13">
        <f t="shared" ref="F95:F104" si="237">SUM(D95:E95)</f>
        <v>19</v>
      </c>
      <c r="G95" s="42">
        <f t="shared" ref="G95:G104" si="238">PRODUCT(D95, (1/F95))</f>
        <v>0.5263157895</v>
      </c>
      <c r="H95" s="13">
        <v>6.0</v>
      </c>
      <c r="I95" s="13">
        <v>8.0</v>
      </c>
      <c r="J95" s="13">
        <v>0.0</v>
      </c>
      <c r="K95" s="13">
        <v>0.0</v>
      </c>
      <c r="L95" s="13">
        <v>0.0</v>
      </c>
      <c r="M95" s="13">
        <v>0.0</v>
      </c>
      <c r="N95" s="13">
        <v>13.0</v>
      </c>
      <c r="O95" s="13">
        <v>7.0</v>
      </c>
      <c r="P95" s="13">
        <v>1.0</v>
      </c>
      <c r="Q95" s="13">
        <v>2.0</v>
      </c>
      <c r="R95" s="13">
        <v>0.0</v>
      </c>
      <c r="S95" s="13">
        <v>4.0</v>
      </c>
      <c r="T95" s="13">
        <v>0.0</v>
      </c>
      <c r="U95" s="13">
        <v>0.0</v>
      </c>
      <c r="V95" s="13">
        <v>6.0</v>
      </c>
      <c r="W95" s="13">
        <v>0.0</v>
      </c>
      <c r="X95" s="81">
        <v>0.0</v>
      </c>
      <c r="Y95" s="81">
        <v>0.0</v>
      </c>
      <c r="Z95" s="13"/>
      <c r="AA95" s="13"/>
      <c r="AB95" s="13">
        <f t="shared" ref="AB95:AC95" si="233">PRODUCT(T95,2)</f>
        <v>0</v>
      </c>
      <c r="AC95" s="13">
        <f t="shared" si="233"/>
        <v>0</v>
      </c>
      <c r="AD95" s="13">
        <f t="shared" ref="AD95:AE95" si="234">PRODUCT(V95,3)</f>
        <v>18</v>
      </c>
      <c r="AE95" s="13">
        <f t="shared" si="234"/>
        <v>0</v>
      </c>
      <c r="AF95" s="13">
        <f t="shared" ref="AF95:AG95" si="235">PRODUCT(X95,4)</f>
        <v>0</v>
      </c>
      <c r="AG95" s="13">
        <f t="shared" si="235"/>
        <v>0</v>
      </c>
      <c r="AH95" s="13"/>
      <c r="AI95" s="13"/>
      <c r="AJ95" s="13">
        <f t="shared" ref="AJ95:AK95" si="236">SUM(AB95,AD95,AF95)</f>
        <v>18</v>
      </c>
      <c r="AK95" s="13">
        <f t="shared" si="236"/>
        <v>0</v>
      </c>
      <c r="AL95" s="13">
        <v>54.0</v>
      </c>
    </row>
    <row r="96">
      <c r="A96" s="25" t="s">
        <v>24</v>
      </c>
      <c r="B96" s="75" t="s">
        <v>59</v>
      </c>
      <c r="C96" s="25">
        <v>9.0</v>
      </c>
      <c r="D96" s="25">
        <v>10.0</v>
      </c>
      <c r="E96" s="25">
        <v>9.0</v>
      </c>
      <c r="F96" s="25">
        <f t="shared" si="237"/>
        <v>19</v>
      </c>
      <c r="G96" s="43">
        <f t="shared" si="238"/>
        <v>0.5263157895</v>
      </c>
      <c r="H96" s="25">
        <v>7.0</v>
      </c>
      <c r="I96" s="25">
        <v>6.0</v>
      </c>
      <c r="J96" s="25">
        <v>0.0</v>
      </c>
      <c r="K96" s="25">
        <v>2.0</v>
      </c>
      <c r="L96" s="25">
        <v>0.0</v>
      </c>
      <c r="M96" s="25">
        <v>0.0</v>
      </c>
      <c r="N96" s="25">
        <v>18.0</v>
      </c>
      <c r="O96" s="25">
        <v>26.0</v>
      </c>
      <c r="P96" s="25">
        <v>15.0</v>
      </c>
      <c r="Q96" s="25">
        <v>15.0</v>
      </c>
      <c r="R96" s="25">
        <v>7.0</v>
      </c>
      <c r="S96" s="25">
        <v>7.0</v>
      </c>
      <c r="T96" s="25">
        <v>1.0</v>
      </c>
      <c r="U96" s="25">
        <v>6.0</v>
      </c>
      <c r="V96" s="25">
        <v>4.0</v>
      </c>
      <c r="W96" s="25">
        <v>7.0</v>
      </c>
      <c r="X96" s="75">
        <v>0.0</v>
      </c>
      <c r="Y96" s="75">
        <v>0.0</v>
      </c>
      <c r="Z96" s="25"/>
      <c r="AA96" s="25"/>
      <c r="AB96" s="25">
        <f t="shared" ref="AB96:AC96" si="239">PRODUCT(T96,2)</f>
        <v>2</v>
      </c>
      <c r="AC96" s="25">
        <f t="shared" si="239"/>
        <v>12</v>
      </c>
      <c r="AD96" s="25">
        <f t="shared" ref="AD96:AE96" si="240">PRODUCT(V96,3)</f>
        <v>12</v>
      </c>
      <c r="AE96" s="25">
        <f t="shared" si="240"/>
        <v>21</v>
      </c>
      <c r="AF96" s="25">
        <f t="shared" ref="AF96:AG96" si="241">PRODUCT(X96,4)</f>
        <v>0</v>
      </c>
      <c r="AG96" s="25">
        <f t="shared" si="241"/>
        <v>0</v>
      </c>
      <c r="AH96" s="25"/>
      <c r="AI96" s="25"/>
      <c r="AJ96" s="25">
        <f t="shared" ref="AJ96:AK96" si="242">SUM(AB96,AD96,AF96)</f>
        <v>14</v>
      </c>
      <c r="AK96" s="25">
        <f t="shared" si="242"/>
        <v>33</v>
      </c>
      <c r="AL96" s="25">
        <v>24.0</v>
      </c>
    </row>
    <row r="97">
      <c r="A97" s="13" t="s">
        <v>24</v>
      </c>
      <c r="B97" s="81" t="s">
        <v>50</v>
      </c>
      <c r="C97" s="13">
        <v>10.0</v>
      </c>
      <c r="D97" s="13">
        <v>13.0</v>
      </c>
      <c r="E97" s="13">
        <v>9.0</v>
      </c>
      <c r="F97" s="13">
        <f t="shared" si="237"/>
        <v>22</v>
      </c>
      <c r="G97" s="42">
        <f t="shared" si="238"/>
        <v>0.5909090909</v>
      </c>
      <c r="H97" s="13">
        <v>10.0</v>
      </c>
      <c r="I97" s="13">
        <v>7.0</v>
      </c>
      <c r="J97" s="13">
        <v>0.0</v>
      </c>
      <c r="K97" s="13">
        <v>2.0</v>
      </c>
      <c r="L97" s="13">
        <v>0.0</v>
      </c>
      <c r="M97" s="13">
        <v>0.0</v>
      </c>
      <c r="N97" s="13">
        <v>19.0</v>
      </c>
      <c r="O97" s="13">
        <v>22.0</v>
      </c>
      <c r="P97" s="13">
        <v>7.0</v>
      </c>
      <c r="Q97" s="13">
        <v>12.0</v>
      </c>
      <c r="R97" s="13">
        <v>7.0</v>
      </c>
      <c r="S97" s="13">
        <v>6.0</v>
      </c>
      <c r="T97" s="13">
        <v>2.0</v>
      </c>
      <c r="U97" s="13">
        <v>2.0</v>
      </c>
      <c r="V97" s="13">
        <v>2.0</v>
      </c>
      <c r="W97" s="13">
        <v>1.0</v>
      </c>
      <c r="X97" s="13">
        <v>5.0</v>
      </c>
      <c r="Y97" s="13">
        <v>5.0</v>
      </c>
      <c r="Z97" s="13"/>
      <c r="AA97" s="13"/>
      <c r="AB97" s="13">
        <f t="shared" ref="AB97:AC97" si="243">PRODUCT(T97,2)</f>
        <v>4</v>
      </c>
      <c r="AC97" s="13">
        <f t="shared" si="243"/>
        <v>4</v>
      </c>
      <c r="AD97" s="13">
        <f t="shared" ref="AD97:AE97" si="244">PRODUCT(V97,3)</f>
        <v>6</v>
      </c>
      <c r="AE97" s="13">
        <f t="shared" si="244"/>
        <v>3</v>
      </c>
      <c r="AF97" s="13">
        <f t="shared" ref="AF97:AG97" si="245">PRODUCT(X97,4)</f>
        <v>20</v>
      </c>
      <c r="AG97" s="13">
        <f t="shared" si="245"/>
        <v>20</v>
      </c>
      <c r="AH97" s="13"/>
      <c r="AI97" s="13"/>
      <c r="AJ97" s="13">
        <f t="shared" ref="AJ97:AK97" si="246">SUM(AB97,AD97,AF97)</f>
        <v>30</v>
      </c>
      <c r="AK97" s="13">
        <f t="shared" si="246"/>
        <v>27</v>
      </c>
      <c r="AL97" s="13">
        <v>70.0</v>
      </c>
    </row>
    <row r="98">
      <c r="A98" s="109" t="s">
        <v>24</v>
      </c>
      <c r="B98" s="109" t="s">
        <v>37</v>
      </c>
      <c r="C98" s="109">
        <v>11.0</v>
      </c>
      <c r="D98" s="109">
        <v>30.0</v>
      </c>
      <c r="E98" s="109">
        <v>11.0</v>
      </c>
      <c r="F98" s="110">
        <f t="shared" si="237"/>
        <v>41</v>
      </c>
      <c r="G98" s="110">
        <f t="shared" si="238"/>
        <v>0.7317073171</v>
      </c>
      <c r="H98" s="109">
        <v>22.0</v>
      </c>
      <c r="I98" s="109">
        <v>10.0</v>
      </c>
      <c r="J98" s="109">
        <v>0.0</v>
      </c>
      <c r="K98" s="109">
        <v>0.0</v>
      </c>
      <c r="L98" s="109">
        <v>0.0</v>
      </c>
      <c r="M98" s="109">
        <v>0.0</v>
      </c>
      <c r="N98" s="109">
        <v>33.0</v>
      </c>
      <c r="O98" s="109">
        <v>16.0</v>
      </c>
      <c r="P98" s="109">
        <v>10.0</v>
      </c>
      <c r="Q98" s="109">
        <v>4.0</v>
      </c>
      <c r="R98" s="109">
        <v>3.0</v>
      </c>
      <c r="S98" s="109">
        <v>7.0</v>
      </c>
      <c r="T98" s="109">
        <v>2.0</v>
      </c>
      <c r="U98" s="109">
        <v>0.0</v>
      </c>
      <c r="V98" s="109">
        <v>2.0</v>
      </c>
      <c r="W98" s="109">
        <v>0.0</v>
      </c>
      <c r="X98" s="109">
        <v>6.0</v>
      </c>
      <c r="Y98" s="109">
        <v>0.0</v>
      </c>
      <c r="Z98" s="111"/>
      <c r="AA98" s="111"/>
      <c r="AB98" s="111">
        <v>0.0</v>
      </c>
      <c r="AC98" s="111">
        <v>0.0</v>
      </c>
      <c r="AD98" s="112">
        <f t="shared" ref="AD98:AE98" si="247">PRODUCT(T98,2)</f>
        <v>4</v>
      </c>
      <c r="AE98" s="112">
        <f t="shared" si="247"/>
        <v>0</v>
      </c>
      <c r="AF98" s="112">
        <f t="shared" ref="AF98:AG98" si="248">PRODUCT(V98,3)</f>
        <v>6</v>
      </c>
      <c r="AG98" s="112">
        <f t="shared" si="248"/>
        <v>0</v>
      </c>
      <c r="AH98" s="112">
        <f t="shared" ref="AH98:AI98" si="249">PRODUCT(X98,4)</f>
        <v>24</v>
      </c>
      <c r="AI98" s="112">
        <f t="shared" si="249"/>
        <v>0</v>
      </c>
      <c r="AJ98" s="113">
        <f>PRODUCT(5,AB98)</f>
        <v>0</v>
      </c>
      <c r="AK98" s="113">
        <f>PRODUCT(AC98,5)</f>
        <v>0</v>
      </c>
      <c r="AL98" s="113">
        <v>132.0</v>
      </c>
    </row>
    <row r="99">
      <c r="A99" s="13" t="s">
        <v>4</v>
      </c>
      <c r="B99" s="81" t="s">
        <v>59</v>
      </c>
      <c r="C99" s="13">
        <v>9.0</v>
      </c>
      <c r="D99" s="13">
        <v>33.0</v>
      </c>
      <c r="E99" s="13">
        <v>9.0</v>
      </c>
      <c r="F99" s="13">
        <f t="shared" si="237"/>
        <v>42</v>
      </c>
      <c r="G99" s="42">
        <f t="shared" si="238"/>
        <v>0.7857142857</v>
      </c>
      <c r="H99" s="13">
        <v>27.0</v>
      </c>
      <c r="I99" s="13">
        <v>7.0</v>
      </c>
      <c r="J99" s="13">
        <v>0.0</v>
      </c>
      <c r="K99" s="13">
        <v>0.0</v>
      </c>
      <c r="L99" s="13">
        <v>0.0</v>
      </c>
      <c r="M99" s="13">
        <v>0.0</v>
      </c>
      <c r="N99" s="13">
        <v>46.0</v>
      </c>
      <c r="O99" s="13">
        <v>14.0</v>
      </c>
      <c r="P99" s="13">
        <v>2.0</v>
      </c>
      <c r="Q99" s="13">
        <v>21.0</v>
      </c>
      <c r="R99" s="13">
        <v>0.0</v>
      </c>
      <c r="S99" s="13">
        <v>2.0</v>
      </c>
      <c r="T99" s="13">
        <v>2.0</v>
      </c>
      <c r="U99" s="13">
        <v>2.0</v>
      </c>
      <c r="V99" s="13">
        <v>3.0</v>
      </c>
      <c r="W99" s="13">
        <v>4.0</v>
      </c>
      <c r="X99" s="81">
        <v>0.0</v>
      </c>
      <c r="Y99" s="81">
        <v>0.0</v>
      </c>
      <c r="Z99" s="13"/>
      <c r="AA99" s="13"/>
      <c r="AB99" s="13">
        <f t="shared" ref="AB99:AC99" si="250">PRODUCT(T99,2)</f>
        <v>4</v>
      </c>
      <c r="AC99" s="13">
        <f t="shared" si="250"/>
        <v>4</v>
      </c>
      <c r="AD99" s="13">
        <f t="shared" ref="AD99:AE99" si="251">PRODUCT(V99,3)</f>
        <v>9</v>
      </c>
      <c r="AE99" s="13">
        <f t="shared" si="251"/>
        <v>12</v>
      </c>
      <c r="AF99" s="13">
        <f t="shared" ref="AF99:AG99" si="252">PRODUCT(X99,4)</f>
        <v>0</v>
      </c>
      <c r="AG99" s="13">
        <f t="shared" si="252"/>
        <v>0</v>
      </c>
      <c r="AH99" s="13"/>
      <c r="AI99" s="13"/>
      <c r="AJ99" s="13">
        <f t="shared" ref="AJ99:AK99" si="253">SUM(AB99,AD99,AF99)</f>
        <v>13</v>
      </c>
      <c r="AK99" s="13">
        <f t="shared" si="253"/>
        <v>16</v>
      </c>
      <c r="AL99" s="13">
        <v>180.0</v>
      </c>
    </row>
    <row r="100">
      <c r="A100" s="25" t="s">
        <v>4</v>
      </c>
      <c r="B100" s="75" t="s">
        <v>50</v>
      </c>
      <c r="C100" s="25">
        <v>10.0</v>
      </c>
      <c r="D100" s="25">
        <v>30.0</v>
      </c>
      <c r="E100" s="25">
        <v>6.0</v>
      </c>
      <c r="F100" s="25">
        <f t="shared" si="237"/>
        <v>36</v>
      </c>
      <c r="G100" s="43">
        <f t="shared" si="238"/>
        <v>0.8333333333</v>
      </c>
      <c r="H100" s="25">
        <v>18.0</v>
      </c>
      <c r="I100" s="25">
        <v>3.0</v>
      </c>
      <c r="J100" s="25">
        <v>1.0</v>
      </c>
      <c r="K100" s="25">
        <v>1.0</v>
      </c>
      <c r="L100" s="25">
        <v>0.0</v>
      </c>
      <c r="M100" s="25">
        <v>0.0</v>
      </c>
      <c r="N100" s="25">
        <v>33.0</v>
      </c>
      <c r="O100" s="25">
        <v>12.0</v>
      </c>
      <c r="P100" s="25">
        <v>4.0</v>
      </c>
      <c r="Q100" s="25">
        <v>15.0</v>
      </c>
      <c r="R100" s="25">
        <v>2.0</v>
      </c>
      <c r="S100" s="25">
        <v>2.0</v>
      </c>
      <c r="T100" s="25">
        <v>3.0</v>
      </c>
      <c r="U100" s="25">
        <v>0.0</v>
      </c>
      <c r="V100" s="25">
        <v>0.0</v>
      </c>
      <c r="W100" s="25">
        <v>1.0</v>
      </c>
      <c r="X100" s="25">
        <v>10.0</v>
      </c>
      <c r="Y100" s="25">
        <v>8.0</v>
      </c>
      <c r="Z100" s="25"/>
      <c r="AA100" s="25"/>
      <c r="AB100" s="25">
        <f t="shared" ref="AB100:AC100" si="254">PRODUCT(T100,2)</f>
        <v>6</v>
      </c>
      <c r="AC100" s="25">
        <f t="shared" si="254"/>
        <v>0</v>
      </c>
      <c r="AD100" s="25">
        <f t="shared" ref="AD100:AE100" si="255">PRODUCT(V100,3)</f>
        <v>0</v>
      </c>
      <c r="AE100" s="25">
        <f t="shared" si="255"/>
        <v>3</v>
      </c>
      <c r="AF100" s="25">
        <f t="shared" ref="AF100:AG100" si="256">PRODUCT(X100,4)</f>
        <v>40</v>
      </c>
      <c r="AG100" s="25">
        <f t="shared" si="256"/>
        <v>32</v>
      </c>
      <c r="AH100" s="25"/>
      <c r="AI100" s="25"/>
      <c r="AJ100" s="25">
        <f t="shared" ref="AJ100:AK100" si="257">SUM(AB100,AD100,AF100)</f>
        <v>46</v>
      </c>
      <c r="AK100" s="25">
        <f t="shared" si="257"/>
        <v>35</v>
      </c>
      <c r="AL100" s="25">
        <v>134.5</v>
      </c>
    </row>
    <row r="101">
      <c r="A101" s="104" t="s">
        <v>4</v>
      </c>
      <c r="B101" s="104" t="s">
        <v>37</v>
      </c>
      <c r="C101" s="104">
        <v>11.0</v>
      </c>
      <c r="D101" s="104">
        <v>44.0</v>
      </c>
      <c r="E101" s="104">
        <v>12.0</v>
      </c>
      <c r="F101" s="84">
        <f t="shared" si="237"/>
        <v>56</v>
      </c>
      <c r="G101" s="84">
        <f t="shared" si="238"/>
        <v>0.7857142857</v>
      </c>
      <c r="H101" s="104">
        <v>37.0</v>
      </c>
      <c r="I101" s="104">
        <v>7.0</v>
      </c>
      <c r="J101" s="104">
        <v>1.0</v>
      </c>
      <c r="K101" s="104">
        <v>1.0</v>
      </c>
      <c r="L101" s="104">
        <v>0.0</v>
      </c>
      <c r="M101" s="104">
        <v>2.0</v>
      </c>
      <c r="N101" s="104">
        <v>49.0</v>
      </c>
      <c r="O101" s="104">
        <v>18.0</v>
      </c>
      <c r="P101" s="104">
        <v>5.0</v>
      </c>
      <c r="Q101" s="104">
        <v>13.0</v>
      </c>
      <c r="R101" s="104">
        <v>0.0</v>
      </c>
      <c r="S101" s="104">
        <v>1.0</v>
      </c>
      <c r="T101" s="104">
        <v>1.0</v>
      </c>
      <c r="U101" s="104">
        <v>1.0</v>
      </c>
      <c r="V101" s="104">
        <v>1.0</v>
      </c>
      <c r="W101" s="104">
        <v>2.0</v>
      </c>
      <c r="X101" s="104">
        <v>5.0</v>
      </c>
      <c r="Y101" s="104">
        <v>8.0</v>
      </c>
      <c r="Z101" s="105"/>
      <c r="AA101" s="105"/>
      <c r="AB101" s="105">
        <v>0.0</v>
      </c>
      <c r="AC101" s="105">
        <v>0.0</v>
      </c>
      <c r="AD101" s="106">
        <f t="shared" ref="AD101:AE101" si="258">PRODUCT(T101,2)</f>
        <v>2</v>
      </c>
      <c r="AE101" s="106">
        <f t="shared" si="258"/>
        <v>2</v>
      </c>
      <c r="AF101" s="106">
        <f t="shared" ref="AF101:AG101" si="259">PRODUCT(V101,3)</f>
        <v>3</v>
      </c>
      <c r="AG101" s="106">
        <f t="shared" si="259"/>
        <v>6</v>
      </c>
      <c r="AH101" s="106">
        <f t="shared" ref="AH101:AI101" si="260">PRODUCT(X101,4)</f>
        <v>20</v>
      </c>
      <c r="AI101" s="106">
        <f t="shared" si="260"/>
        <v>32</v>
      </c>
      <c r="AJ101" s="107">
        <f>PRODUCT(5,AB101)</f>
        <v>0</v>
      </c>
      <c r="AK101" s="107">
        <f>PRODUCT(AC101,5)</f>
        <v>0</v>
      </c>
      <c r="AL101" s="107">
        <v>227.0</v>
      </c>
    </row>
    <row r="102">
      <c r="A102" s="25" t="s">
        <v>9</v>
      </c>
      <c r="B102" s="75" t="s">
        <v>59</v>
      </c>
      <c r="C102" s="25">
        <v>11.0</v>
      </c>
      <c r="D102" s="25">
        <v>25.0</v>
      </c>
      <c r="E102" s="25">
        <v>11.0</v>
      </c>
      <c r="F102" s="25">
        <f t="shared" si="237"/>
        <v>36</v>
      </c>
      <c r="G102" s="43">
        <f t="shared" si="238"/>
        <v>0.6944444444</v>
      </c>
      <c r="H102" s="25">
        <v>19.0</v>
      </c>
      <c r="I102" s="25">
        <v>11.0</v>
      </c>
      <c r="J102" s="25">
        <v>0.0</v>
      </c>
      <c r="K102" s="25">
        <v>0.0</v>
      </c>
      <c r="L102" s="25">
        <v>0.0</v>
      </c>
      <c r="M102" s="25">
        <v>0.0</v>
      </c>
      <c r="N102" s="25">
        <v>25.0</v>
      </c>
      <c r="O102" s="25">
        <v>18.0</v>
      </c>
      <c r="P102" s="25">
        <v>6.0</v>
      </c>
      <c r="Q102" s="25">
        <v>3.0</v>
      </c>
      <c r="R102" s="25">
        <v>3.0</v>
      </c>
      <c r="S102" s="25">
        <v>7.0</v>
      </c>
      <c r="T102" s="25">
        <v>0.0</v>
      </c>
      <c r="U102" s="25">
        <v>6.0</v>
      </c>
      <c r="V102" s="25">
        <v>4.0</v>
      </c>
      <c r="W102" s="25">
        <v>3.0</v>
      </c>
      <c r="X102" s="75">
        <v>0.0</v>
      </c>
      <c r="Y102" s="75">
        <v>0.0</v>
      </c>
      <c r="Z102" s="25"/>
      <c r="AA102" s="25"/>
      <c r="AB102" s="25">
        <f t="shared" ref="AB102:AC102" si="261">PRODUCT(T102,2)</f>
        <v>0</v>
      </c>
      <c r="AC102" s="25">
        <f t="shared" si="261"/>
        <v>12</v>
      </c>
      <c r="AD102" s="25">
        <f t="shared" ref="AD102:AE102" si="262">PRODUCT(V102,3)</f>
        <v>12</v>
      </c>
      <c r="AE102" s="25">
        <f t="shared" si="262"/>
        <v>9</v>
      </c>
      <c r="AF102" s="25">
        <f t="shared" ref="AF102:AG102" si="263">PRODUCT(X102,4)</f>
        <v>0</v>
      </c>
      <c r="AG102" s="25">
        <f t="shared" si="263"/>
        <v>0</v>
      </c>
      <c r="AH102" s="25"/>
      <c r="AI102" s="25"/>
      <c r="AJ102" s="25">
        <f t="shared" ref="AJ102:AK102" si="264">SUM(AB102,AD102,AF102)</f>
        <v>12</v>
      </c>
      <c r="AK102" s="25">
        <f t="shared" si="264"/>
        <v>21</v>
      </c>
      <c r="AL102" s="25">
        <v>130.0</v>
      </c>
    </row>
    <row r="103">
      <c r="A103" s="13" t="s">
        <v>9</v>
      </c>
      <c r="B103" s="81" t="s">
        <v>50</v>
      </c>
      <c r="C103" s="13">
        <v>12.0</v>
      </c>
      <c r="D103" s="13">
        <v>8.0</v>
      </c>
      <c r="E103" s="13">
        <v>3.0</v>
      </c>
      <c r="F103" s="13">
        <f t="shared" si="237"/>
        <v>11</v>
      </c>
      <c r="G103" s="42">
        <f t="shared" si="238"/>
        <v>0.7272727273</v>
      </c>
      <c r="H103" s="13">
        <v>8.0</v>
      </c>
      <c r="I103" s="13">
        <v>2.0</v>
      </c>
      <c r="J103" s="13">
        <v>0.0</v>
      </c>
      <c r="K103" s="13">
        <v>0.0</v>
      </c>
      <c r="L103" s="13">
        <v>0.0</v>
      </c>
      <c r="M103" s="13">
        <v>0.0</v>
      </c>
      <c r="N103" s="13">
        <v>8.0</v>
      </c>
      <c r="O103" s="13">
        <v>7.0</v>
      </c>
      <c r="P103" s="13">
        <v>4.0</v>
      </c>
      <c r="Q103" s="13">
        <v>1.0</v>
      </c>
      <c r="R103" s="13">
        <v>1.0</v>
      </c>
      <c r="S103" s="13">
        <v>1.0</v>
      </c>
      <c r="T103" s="13">
        <v>0.0</v>
      </c>
      <c r="U103" s="13">
        <v>0.0</v>
      </c>
      <c r="V103" s="13">
        <v>0.0</v>
      </c>
      <c r="W103" s="13">
        <v>0.0</v>
      </c>
      <c r="X103" s="13">
        <v>0.0</v>
      </c>
      <c r="Y103" s="13">
        <v>0.0</v>
      </c>
      <c r="Z103" s="13"/>
      <c r="AA103" s="13"/>
      <c r="AB103" s="13">
        <f t="shared" ref="AB103:AC103" si="265">PRODUCT(T103,2)</f>
        <v>0</v>
      </c>
      <c r="AC103" s="13">
        <f t="shared" si="265"/>
        <v>0</v>
      </c>
      <c r="AD103" s="13">
        <f t="shared" ref="AD103:AE103" si="266">PRODUCT(V103,3)</f>
        <v>0</v>
      </c>
      <c r="AE103" s="13">
        <f t="shared" si="266"/>
        <v>0</v>
      </c>
      <c r="AF103" s="13">
        <f t="shared" ref="AF103:AG103" si="267">PRODUCT(X103,4)</f>
        <v>0</v>
      </c>
      <c r="AG103" s="13">
        <f t="shared" si="267"/>
        <v>0</v>
      </c>
      <c r="AH103" s="13"/>
      <c r="AI103" s="13"/>
      <c r="AJ103" s="13">
        <f t="shared" ref="AJ103:AK103" si="268">SUM(AB103,AD103,AF103)</f>
        <v>0</v>
      </c>
      <c r="AK103" s="13">
        <f t="shared" si="268"/>
        <v>0</v>
      </c>
      <c r="AL103" s="13">
        <v>46.0</v>
      </c>
    </row>
    <row r="104">
      <c r="A104" s="109" t="s">
        <v>119</v>
      </c>
      <c r="B104" s="109" t="s">
        <v>37</v>
      </c>
      <c r="C104" s="109">
        <v>11.0</v>
      </c>
      <c r="D104" s="109">
        <v>2.0</v>
      </c>
      <c r="E104" s="109">
        <v>6.0</v>
      </c>
      <c r="F104" s="110">
        <f t="shared" si="237"/>
        <v>8</v>
      </c>
      <c r="G104" s="110">
        <f t="shared" si="238"/>
        <v>0.25</v>
      </c>
      <c r="H104" s="109">
        <v>2.0</v>
      </c>
      <c r="I104" s="109">
        <v>6.0</v>
      </c>
      <c r="J104" s="109">
        <v>0.0</v>
      </c>
      <c r="K104" s="109">
        <v>0.0</v>
      </c>
      <c r="L104" s="109">
        <v>0.0</v>
      </c>
      <c r="M104" s="109">
        <v>0.0</v>
      </c>
      <c r="N104" s="109">
        <v>6.0</v>
      </c>
      <c r="O104" s="109">
        <v>6.0</v>
      </c>
      <c r="P104" s="109">
        <v>3.0</v>
      </c>
      <c r="Q104" s="109">
        <v>2.0</v>
      </c>
      <c r="R104" s="109">
        <v>1.0</v>
      </c>
      <c r="S104" s="109">
        <v>3.0</v>
      </c>
      <c r="T104" s="109">
        <v>0.0</v>
      </c>
      <c r="U104" s="109">
        <v>1.0</v>
      </c>
      <c r="V104" s="109">
        <v>0.0</v>
      </c>
      <c r="W104" s="109">
        <v>0.0</v>
      </c>
      <c r="X104" s="109">
        <v>1.0</v>
      </c>
      <c r="Y104" s="109">
        <v>0.0</v>
      </c>
      <c r="Z104" s="111"/>
      <c r="AA104" s="111"/>
      <c r="AB104" s="111">
        <v>0.0</v>
      </c>
      <c r="AC104" s="111">
        <v>0.0</v>
      </c>
      <c r="AD104" s="112">
        <f t="shared" ref="AD104:AE104" si="269">PRODUCT(T104,2)</f>
        <v>0</v>
      </c>
      <c r="AE104" s="112">
        <f t="shared" si="269"/>
        <v>2</v>
      </c>
      <c r="AF104" s="112">
        <f t="shared" ref="AF104:AG104" si="270">PRODUCT(V104,3)</f>
        <v>0</v>
      </c>
      <c r="AG104" s="112">
        <f t="shared" si="270"/>
        <v>0</v>
      </c>
      <c r="AH104" s="112">
        <f t="shared" ref="AH104:AI104" si="271">PRODUCT(X104,4)</f>
        <v>4</v>
      </c>
      <c r="AI104" s="112">
        <f t="shared" si="271"/>
        <v>0</v>
      </c>
      <c r="AJ104" s="113">
        <f>PRODUCT(5,AB104)</f>
        <v>0</v>
      </c>
      <c r="AK104" s="113">
        <f>PRODUCT(AC104,5)</f>
        <v>0</v>
      </c>
      <c r="AL104" s="113">
        <v>12.0</v>
      </c>
    </row>
    <row r="105">
      <c r="A105" s="81" t="s">
        <v>120</v>
      </c>
      <c r="B105" s="81" t="s">
        <v>51</v>
      </c>
      <c r="C105" s="81">
        <v>10.0</v>
      </c>
      <c r="D105" s="81">
        <v>2.0</v>
      </c>
      <c r="E105" s="81">
        <v>4.0</v>
      </c>
      <c r="F105" s="81"/>
      <c r="G105" s="89">
        <f t="shared" ref="G105:G107" si="272">PRODUCT(D105,(1/(D105+E105)))</f>
        <v>0.3333333333</v>
      </c>
      <c r="H105" s="81">
        <v>2.0</v>
      </c>
      <c r="I105" s="81"/>
      <c r="J105" s="81">
        <v>0.0</v>
      </c>
      <c r="K105" s="81"/>
      <c r="L105" s="81">
        <v>0.0</v>
      </c>
      <c r="M105" s="81"/>
      <c r="N105" s="81">
        <v>4.0</v>
      </c>
      <c r="O105" s="81"/>
      <c r="P105" s="81">
        <v>2.0</v>
      </c>
      <c r="Q105" s="81"/>
      <c r="R105" s="81">
        <v>1.0</v>
      </c>
      <c r="S105" s="81"/>
      <c r="T105" s="81">
        <v>1.0</v>
      </c>
      <c r="U105" s="81"/>
      <c r="V105" s="81">
        <v>0.0</v>
      </c>
      <c r="W105" s="81"/>
      <c r="X105" s="103"/>
      <c r="Y105" s="103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>
        <v>2.0</v>
      </c>
      <c r="AK105" s="81"/>
      <c r="AL105" s="81">
        <v>12.0</v>
      </c>
    </row>
    <row r="106">
      <c r="A106" s="75" t="s">
        <v>121</v>
      </c>
      <c r="B106" s="75" t="s">
        <v>143</v>
      </c>
      <c r="C106" s="75"/>
      <c r="D106" s="75">
        <v>1.0</v>
      </c>
      <c r="E106" s="75">
        <v>4.0</v>
      </c>
      <c r="F106" s="75"/>
      <c r="G106" s="87">
        <f t="shared" si="272"/>
        <v>0.2</v>
      </c>
      <c r="H106" s="75">
        <v>1.0</v>
      </c>
      <c r="I106" s="75"/>
      <c r="J106" s="75">
        <v>0.0</v>
      </c>
      <c r="K106" s="75"/>
      <c r="L106" s="75">
        <v>0.0</v>
      </c>
      <c r="M106" s="75"/>
      <c r="N106" s="75">
        <v>2.0</v>
      </c>
      <c r="O106" s="75"/>
      <c r="P106" s="75">
        <v>2.0</v>
      </c>
      <c r="Q106" s="75"/>
      <c r="R106" s="75">
        <v>0.0</v>
      </c>
      <c r="S106" s="75"/>
      <c r="T106" s="75">
        <v>1.0</v>
      </c>
      <c r="U106" s="75"/>
      <c r="V106" s="75">
        <v>2.0</v>
      </c>
      <c r="W106" s="75"/>
      <c r="X106" s="108"/>
      <c r="Y106" s="108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>
        <v>8.0</v>
      </c>
      <c r="AK106" s="75"/>
      <c r="AL106" s="75">
        <v>6.0</v>
      </c>
    </row>
    <row r="107">
      <c r="A107" s="81" t="s">
        <v>27</v>
      </c>
      <c r="B107" s="81" t="s">
        <v>142</v>
      </c>
      <c r="C107" s="81">
        <v>12.0</v>
      </c>
      <c r="D107" s="81">
        <v>0.0</v>
      </c>
      <c r="E107" s="81">
        <v>4.0</v>
      </c>
      <c r="F107" s="81"/>
      <c r="G107" s="89">
        <f t="shared" si="272"/>
        <v>0</v>
      </c>
      <c r="H107" s="81">
        <v>0.0</v>
      </c>
      <c r="I107" s="81"/>
      <c r="J107" s="81">
        <v>0.0</v>
      </c>
      <c r="K107" s="81"/>
      <c r="L107" s="81">
        <v>0.0</v>
      </c>
      <c r="M107" s="81"/>
      <c r="N107" s="81">
        <v>0.0</v>
      </c>
      <c r="O107" s="81"/>
      <c r="P107" s="81">
        <v>1.0</v>
      </c>
      <c r="Q107" s="81"/>
      <c r="R107" s="81">
        <v>0.0</v>
      </c>
      <c r="S107" s="81"/>
      <c r="T107" s="81">
        <v>0.0</v>
      </c>
      <c r="U107" s="81"/>
      <c r="V107" s="81">
        <v>0.0</v>
      </c>
      <c r="W107" s="81"/>
      <c r="X107" s="103"/>
      <c r="Y107" s="103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>
        <v>0.0</v>
      </c>
      <c r="AK107" s="81"/>
      <c r="AL107" s="81">
        <v>0.0</v>
      </c>
    </row>
    <row r="108">
      <c r="A108" s="109" t="s">
        <v>122</v>
      </c>
      <c r="B108" s="109" t="s">
        <v>37</v>
      </c>
      <c r="C108" s="109">
        <v>9.0</v>
      </c>
      <c r="D108" s="109">
        <v>12.0</v>
      </c>
      <c r="E108" s="109">
        <v>17.0</v>
      </c>
      <c r="F108" s="110">
        <f>SUM(D108:E108)</f>
        <v>29</v>
      </c>
      <c r="G108" s="110">
        <f>PRODUCT(D108, (1/F108))</f>
        <v>0.4137931034</v>
      </c>
      <c r="H108" s="109">
        <v>8.0</v>
      </c>
      <c r="I108" s="109">
        <v>13.0</v>
      </c>
      <c r="J108" s="109">
        <v>0.0</v>
      </c>
      <c r="K108" s="109">
        <v>3.0</v>
      </c>
      <c r="L108" s="109">
        <v>0.0</v>
      </c>
      <c r="M108" s="109">
        <v>1.0</v>
      </c>
      <c r="N108" s="109">
        <v>10.0</v>
      </c>
      <c r="O108" s="109">
        <v>27.0</v>
      </c>
      <c r="P108" s="109">
        <v>8.0</v>
      </c>
      <c r="Q108" s="109">
        <v>4.0</v>
      </c>
      <c r="R108" s="109">
        <v>1.0</v>
      </c>
      <c r="S108" s="109">
        <v>6.0</v>
      </c>
      <c r="T108" s="109">
        <v>0.0</v>
      </c>
      <c r="U108" s="109">
        <v>2.0</v>
      </c>
      <c r="V108" s="109">
        <v>0.0</v>
      </c>
      <c r="W108" s="109">
        <v>6.0</v>
      </c>
      <c r="X108" s="109">
        <v>1.0</v>
      </c>
      <c r="Y108" s="109">
        <v>6.0</v>
      </c>
      <c r="Z108" s="111"/>
      <c r="AA108" s="111"/>
      <c r="AB108" s="111">
        <v>0.0</v>
      </c>
      <c r="AC108" s="111">
        <v>0.0</v>
      </c>
      <c r="AD108" s="112">
        <f t="shared" ref="AD108:AE108" si="273">PRODUCT(T108,2)</f>
        <v>0</v>
      </c>
      <c r="AE108" s="112">
        <f t="shared" si="273"/>
        <v>4</v>
      </c>
      <c r="AF108" s="112">
        <f t="shared" ref="AF108:AG108" si="274">PRODUCT(V108,3)</f>
        <v>0</v>
      </c>
      <c r="AG108" s="112">
        <f t="shared" si="274"/>
        <v>18</v>
      </c>
      <c r="AH108" s="112">
        <f t="shared" ref="AH108:AI108" si="275">PRODUCT(X108,4)</f>
        <v>4</v>
      </c>
      <c r="AI108" s="112">
        <f t="shared" si="275"/>
        <v>24</v>
      </c>
      <c r="AJ108" s="113">
        <f>PRODUCT(5,AB108)</f>
        <v>0</v>
      </c>
      <c r="AK108" s="113">
        <f>PRODUCT(AC108,5)</f>
        <v>0</v>
      </c>
      <c r="AL108" s="113">
        <v>51.0</v>
      </c>
    </row>
    <row r="109">
      <c r="A109" s="81" t="s">
        <v>18</v>
      </c>
      <c r="B109" s="81" t="s">
        <v>51</v>
      </c>
      <c r="C109" s="81">
        <v>9.0</v>
      </c>
      <c r="D109" s="81">
        <v>6.0</v>
      </c>
      <c r="E109" s="81">
        <v>15.0</v>
      </c>
      <c r="F109" s="81"/>
      <c r="G109" s="89">
        <f>PRODUCT(D109,(1/(D109+E109)))</f>
        <v>0.2857142857</v>
      </c>
      <c r="H109" s="81">
        <v>6.0</v>
      </c>
      <c r="I109" s="81"/>
      <c r="J109" s="81">
        <v>0.0</v>
      </c>
      <c r="K109" s="81"/>
      <c r="L109" s="81">
        <v>0.0</v>
      </c>
      <c r="M109" s="81"/>
      <c r="N109" s="81">
        <v>11.0</v>
      </c>
      <c r="O109" s="81"/>
      <c r="P109" s="81">
        <v>6.0</v>
      </c>
      <c r="Q109" s="81"/>
      <c r="R109" s="81">
        <v>2.0</v>
      </c>
      <c r="S109" s="81"/>
      <c r="T109" s="81">
        <v>0.0</v>
      </c>
      <c r="U109" s="81"/>
      <c r="V109" s="81">
        <v>2.0</v>
      </c>
      <c r="W109" s="81"/>
      <c r="X109" s="103"/>
      <c r="Y109" s="103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>
        <v>6.0</v>
      </c>
      <c r="AK109" s="81"/>
      <c r="AL109" s="81">
        <v>36.0</v>
      </c>
    </row>
    <row r="110">
      <c r="A110" s="25" t="s">
        <v>18</v>
      </c>
      <c r="B110" s="25" t="s">
        <v>58</v>
      </c>
      <c r="C110" s="25">
        <v>10.0</v>
      </c>
      <c r="D110" s="25">
        <v>12.0</v>
      </c>
      <c r="E110" s="25">
        <v>10.0</v>
      </c>
      <c r="F110" s="25">
        <f t="shared" ref="F110:F111" si="280">SUM(D110:E110)</f>
        <v>22</v>
      </c>
      <c r="G110" s="82">
        <f>PRODUCT(D110,(1/F110))</f>
        <v>0.5454545455</v>
      </c>
      <c r="H110" s="25">
        <v>7.0</v>
      </c>
      <c r="I110" s="25">
        <v>10.0</v>
      </c>
      <c r="J110" s="25">
        <v>0.0</v>
      </c>
      <c r="K110" s="25">
        <v>0.0</v>
      </c>
      <c r="L110" s="25">
        <v>0.0</v>
      </c>
      <c r="M110" s="25">
        <v>0.0</v>
      </c>
      <c r="N110" s="25">
        <v>12.0</v>
      </c>
      <c r="O110" s="25">
        <v>15.0</v>
      </c>
      <c r="P110" s="25">
        <v>5.0</v>
      </c>
      <c r="Q110" s="25">
        <v>5.0</v>
      </c>
      <c r="R110" s="25">
        <v>4.0</v>
      </c>
      <c r="S110" s="25">
        <v>2.0</v>
      </c>
      <c r="T110" s="25">
        <v>4.0</v>
      </c>
      <c r="U110" s="25">
        <v>2.0</v>
      </c>
      <c r="V110" s="25">
        <v>0.0</v>
      </c>
      <c r="W110" s="25">
        <v>3.0</v>
      </c>
      <c r="X110" s="75">
        <v>0.0</v>
      </c>
      <c r="Y110" s="75">
        <v>0.0</v>
      </c>
      <c r="Z110" s="25"/>
      <c r="AA110" s="25"/>
      <c r="AB110" s="25">
        <f t="shared" ref="AB110:AC110" si="276">PRODUCT(T110,2)</f>
        <v>8</v>
      </c>
      <c r="AC110" s="25">
        <f t="shared" si="276"/>
        <v>4</v>
      </c>
      <c r="AD110" s="25">
        <f t="shared" ref="AD110:AE110" si="277">PRODUCT(V110,3)</f>
        <v>0</v>
      </c>
      <c r="AE110" s="25">
        <f t="shared" si="277"/>
        <v>9</v>
      </c>
      <c r="AF110" s="25">
        <f t="shared" ref="AF110:AG110" si="278">PRODUCT(X110,4)</f>
        <v>0</v>
      </c>
      <c r="AG110" s="25">
        <f t="shared" si="278"/>
        <v>0</v>
      </c>
      <c r="AH110" s="25"/>
      <c r="AI110" s="25"/>
      <c r="AJ110" s="25">
        <f t="shared" ref="AJ110:AK110" si="279">SUM(AB110,AD110,AF110)</f>
        <v>8</v>
      </c>
      <c r="AK110" s="25">
        <f t="shared" si="279"/>
        <v>13</v>
      </c>
      <c r="AL110" s="25">
        <v>45.0</v>
      </c>
    </row>
    <row r="111">
      <c r="A111" s="13" t="s">
        <v>18</v>
      </c>
      <c r="B111" s="81" t="s">
        <v>59</v>
      </c>
      <c r="C111" s="13">
        <v>11.0</v>
      </c>
      <c r="D111" s="13">
        <v>5.0</v>
      </c>
      <c r="E111" s="13">
        <v>6.0</v>
      </c>
      <c r="F111" s="13">
        <f t="shared" si="280"/>
        <v>11</v>
      </c>
      <c r="G111" s="42">
        <f>PRODUCT(D111, (1/F111))</f>
        <v>0.4545454545</v>
      </c>
      <c r="H111" s="13">
        <v>3.0</v>
      </c>
      <c r="I111" s="13">
        <v>6.0</v>
      </c>
      <c r="J111" s="13">
        <v>0.0</v>
      </c>
      <c r="K111" s="13">
        <v>0.0</v>
      </c>
      <c r="L111" s="13">
        <v>0.0</v>
      </c>
      <c r="M111" s="13">
        <v>0.0</v>
      </c>
      <c r="N111" s="13">
        <v>7.0</v>
      </c>
      <c r="O111" s="13">
        <v>7.0</v>
      </c>
      <c r="P111" s="13">
        <v>1.0</v>
      </c>
      <c r="Q111" s="13">
        <v>3.0</v>
      </c>
      <c r="R111" s="13">
        <v>0.0</v>
      </c>
      <c r="S111" s="13">
        <v>1.0</v>
      </c>
      <c r="T111" s="13">
        <v>1.0</v>
      </c>
      <c r="U111" s="13">
        <v>1.0</v>
      </c>
      <c r="V111" s="13">
        <v>1.0</v>
      </c>
      <c r="W111" s="13">
        <v>0.0</v>
      </c>
      <c r="X111" s="81">
        <v>0.0</v>
      </c>
      <c r="Y111" s="81">
        <v>0.0</v>
      </c>
      <c r="Z111" s="13"/>
      <c r="AA111" s="13"/>
      <c r="AB111" s="13">
        <f t="shared" ref="AB111:AC111" si="281">PRODUCT(T111,2)</f>
        <v>2</v>
      </c>
      <c r="AC111" s="13">
        <f t="shared" si="281"/>
        <v>2</v>
      </c>
      <c r="AD111" s="13">
        <f t="shared" ref="AD111:AE111" si="282">PRODUCT(V111,3)</f>
        <v>3</v>
      </c>
      <c r="AE111" s="13">
        <f t="shared" si="282"/>
        <v>0</v>
      </c>
      <c r="AF111" s="13">
        <f t="shared" ref="AF111:AG111" si="283">PRODUCT(X111,4)</f>
        <v>0</v>
      </c>
      <c r="AG111" s="13">
        <f t="shared" si="283"/>
        <v>0</v>
      </c>
      <c r="AH111" s="13"/>
      <c r="AI111" s="13"/>
      <c r="AJ111" s="13">
        <f t="shared" ref="AJ111:AK111" si="284">SUM(AB111,AD111,AF111)</f>
        <v>5</v>
      </c>
      <c r="AK111" s="13">
        <f t="shared" si="284"/>
        <v>2</v>
      </c>
      <c r="AL111" s="13">
        <v>51.0</v>
      </c>
    </row>
    <row r="112">
      <c r="A112" s="75" t="s">
        <v>5</v>
      </c>
      <c r="B112" s="75" t="s">
        <v>51</v>
      </c>
      <c r="C112" s="75">
        <v>10.0</v>
      </c>
      <c r="D112" s="75">
        <v>3.0</v>
      </c>
      <c r="E112" s="75">
        <v>18.0</v>
      </c>
      <c r="F112" s="75"/>
      <c r="G112" s="87">
        <f>PRODUCT(D112,(1/(D112+E112)))</f>
        <v>0.1428571429</v>
      </c>
      <c r="H112" s="75">
        <v>1.0</v>
      </c>
      <c r="I112" s="75"/>
      <c r="J112" s="75">
        <v>0.0</v>
      </c>
      <c r="K112" s="75"/>
      <c r="L112" s="75">
        <v>0.0</v>
      </c>
      <c r="M112" s="75"/>
      <c r="N112" s="75">
        <v>8.0</v>
      </c>
      <c r="O112" s="75"/>
      <c r="P112" s="75">
        <v>13.0</v>
      </c>
      <c r="Q112" s="75"/>
      <c r="R112" s="75">
        <v>1.0</v>
      </c>
      <c r="S112" s="75"/>
      <c r="T112" s="75">
        <v>2.0</v>
      </c>
      <c r="U112" s="75"/>
      <c r="V112" s="75">
        <v>1.0</v>
      </c>
      <c r="W112" s="75"/>
      <c r="X112" s="108"/>
      <c r="Y112" s="108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>
        <v>7.0</v>
      </c>
      <c r="AK112" s="75"/>
      <c r="AL112" s="75">
        <v>15.0</v>
      </c>
    </row>
    <row r="113">
      <c r="A113" s="13" t="s">
        <v>5</v>
      </c>
      <c r="B113" s="13" t="s">
        <v>58</v>
      </c>
      <c r="C113" s="13">
        <v>11.0</v>
      </c>
      <c r="D113" s="13">
        <v>17.0</v>
      </c>
      <c r="E113" s="13">
        <v>15.0</v>
      </c>
      <c r="F113" s="13">
        <f t="shared" ref="F113:F114" si="289">SUM(D113:E113)</f>
        <v>32</v>
      </c>
      <c r="G113" s="90">
        <f>PRODUCT(D113,(1/F113))</f>
        <v>0.53125</v>
      </c>
      <c r="H113" s="13">
        <v>10.0</v>
      </c>
      <c r="I113" s="13">
        <v>12.0</v>
      </c>
      <c r="J113" s="13">
        <v>0.0</v>
      </c>
      <c r="K113" s="13">
        <v>0.0</v>
      </c>
      <c r="L113" s="13">
        <v>0.0</v>
      </c>
      <c r="M113" s="13">
        <v>0.0</v>
      </c>
      <c r="N113" s="13">
        <v>19.0</v>
      </c>
      <c r="O113" s="13">
        <v>42.0</v>
      </c>
      <c r="P113" s="13">
        <v>18.0</v>
      </c>
      <c r="Q113" s="13">
        <v>14.0</v>
      </c>
      <c r="R113" s="13">
        <v>9.0</v>
      </c>
      <c r="S113" s="13">
        <v>9.0</v>
      </c>
      <c r="T113" s="13">
        <v>4.0</v>
      </c>
      <c r="U113" s="13">
        <v>3.0</v>
      </c>
      <c r="V113" s="13">
        <v>2.0</v>
      </c>
      <c r="W113" s="13">
        <v>8.0</v>
      </c>
      <c r="X113" s="81">
        <v>0.0</v>
      </c>
      <c r="Y113" s="81">
        <v>0.0</v>
      </c>
      <c r="Z113" s="13"/>
      <c r="AA113" s="13"/>
      <c r="AB113" s="13">
        <f t="shared" ref="AB113:AC113" si="285">PRODUCT(T113,2)</f>
        <v>8</v>
      </c>
      <c r="AC113" s="13">
        <f t="shared" si="285"/>
        <v>6</v>
      </c>
      <c r="AD113" s="13">
        <f t="shared" ref="AD113:AE113" si="286">PRODUCT(V113,3)</f>
        <v>6</v>
      </c>
      <c r="AE113" s="13">
        <f t="shared" si="286"/>
        <v>24</v>
      </c>
      <c r="AF113" s="13">
        <f t="shared" ref="AF113:AG113" si="287">PRODUCT(X113,4)</f>
        <v>0</v>
      </c>
      <c r="AG113" s="13">
        <f t="shared" si="287"/>
        <v>0</v>
      </c>
      <c r="AH113" s="13"/>
      <c r="AI113" s="13"/>
      <c r="AJ113" s="13">
        <f t="shared" ref="AJ113:AK113" si="288">SUM(AB113,AD113,AF113)</f>
        <v>14</v>
      </c>
      <c r="AK113" s="13">
        <f t="shared" si="288"/>
        <v>30</v>
      </c>
      <c r="AL113" s="13">
        <v>99.0</v>
      </c>
    </row>
    <row r="114">
      <c r="A114" s="25" t="s">
        <v>5</v>
      </c>
      <c r="B114" s="75" t="s">
        <v>59</v>
      </c>
      <c r="C114" s="25">
        <v>12.0</v>
      </c>
      <c r="D114" s="25">
        <v>28.0</v>
      </c>
      <c r="E114" s="25">
        <v>10.0</v>
      </c>
      <c r="F114" s="25">
        <f t="shared" si="289"/>
        <v>38</v>
      </c>
      <c r="G114" s="43">
        <f>PRODUCT(D114, (1/F114))</f>
        <v>0.7368421053</v>
      </c>
      <c r="H114" s="25">
        <v>20.0</v>
      </c>
      <c r="I114" s="25">
        <v>8.0</v>
      </c>
      <c r="J114" s="25">
        <v>0.0</v>
      </c>
      <c r="K114" s="25">
        <v>0.0</v>
      </c>
      <c r="L114" s="25">
        <v>0.0</v>
      </c>
      <c r="M114" s="25">
        <v>0.0</v>
      </c>
      <c r="N114" s="25">
        <v>38.0</v>
      </c>
      <c r="O114" s="25">
        <v>20.0</v>
      </c>
      <c r="P114" s="25">
        <v>13.0</v>
      </c>
      <c r="Q114" s="25">
        <v>11.0</v>
      </c>
      <c r="R114" s="25">
        <v>1.0</v>
      </c>
      <c r="S114" s="25">
        <v>8.0</v>
      </c>
      <c r="T114" s="25">
        <v>3.0</v>
      </c>
      <c r="U114" s="25">
        <v>0.0</v>
      </c>
      <c r="V114" s="25">
        <v>3.0</v>
      </c>
      <c r="W114" s="25">
        <v>3.0</v>
      </c>
      <c r="X114" s="75">
        <v>0.0</v>
      </c>
      <c r="Y114" s="75">
        <v>0.0</v>
      </c>
      <c r="Z114" s="25"/>
      <c r="AA114" s="25"/>
      <c r="AB114" s="25">
        <f t="shared" ref="AB114:AC114" si="290">PRODUCT(T114,2)</f>
        <v>6</v>
      </c>
      <c r="AC114" s="25">
        <f t="shared" si="290"/>
        <v>0</v>
      </c>
      <c r="AD114" s="25">
        <f t="shared" ref="AD114:AE114" si="291">PRODUCT(V114,3)</f>
        <v>9</v>
      </c>
      <c r="AE114" s="25">
        <f t="shared" si="291"/>
        <v>9</v>
      </c>
      <c r="AF114" s="25">
        <f t="shared" ref="AF114:AG114" si="292">PRODUCT(X114,4)</f>
        <v>0</v>
      </c>
      <c r="AG114" s="25">
        <f t="shared" si="292"/>
        <v>0</v>
      </c>
      <c r="AH114" s="25"/>
      <c r="AI114" s="25"/>
      <c r="AJ114" s="25">
        <f t="shared" ref="AJ114:AK114" si="293">SUM(AB114,AD114,AF114)</f>
        <v>15</v>
      </c>
      <c r="AK114" s="25">
        <f t="shared" si="293"/>
        <v>9</v>
      </c>
      <c r="AL114" s="25">
        <v>157.0</v>
      </c>
    </row>
    <row r="115">
      <c r="A115" s="81" t="s">
        <v>123</v>
      </c>
      <c r="B115" s="81" t="s">
        <v>142</v>
      </c>
      <c r="C115" s="81">
        <v>10.0</v>
      </c>
      <c r="D115" s="81">
        <v>0.0</v>
      </c>
      <c r="E115" s="81">
        <v>3.0</v>
      </c>
      <c r="F115" s="81"/>
      <c r="G115" s="89">
        <f t="shared" ref="G115:G117" si="294">PRODUCT(D115,(1/(D115+E115)))</f>
        <v>0</v>
      </c>
      <c r="H115" s="81">
        <v>0.0</v>
      </c>
      <c r="I115" s="81"/>
      <c r="J115" s="81">
        <v>0.0</v>
      </c>
      <c r="K115" s="81"/>
      <c r="L115" s="81">
        <v>0.0</v>
      </c>
      <c r="M115" s="81"/>
      <c r="N115" s="81">
        <v>0.0</v>
      </c>
      <c r="O115" s="81"/>
      <c r="P115" s="81">
        <v>0.0</v>
      </c>
      <c r="Q115" s="81"/>
      <c r="R115" s="81">
        <v>1.0</v>
      </c>
      <c r="S115" s="81"/>
      <c r="T115" s="81">
        <v>0.0</v>
      </c>
      <c r="U115" s="81"/>
      <c r="V115" s="81">
        <v>0.0</v>
      </c>
      <c r="W115" s="81"/>
      <c r="X115" s="103"/>
      <c r="Y115" s="103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>
        <v>0.0</v>
      </c>
      <c r="AK115" s="81"/>
      <c r="AL115" s="81">
        <v>0.0</v>
      </c>
    </row>
    <row r="116">
      <c r="A116" s="25" t="s">
        <v>123</v>
      </c>
      <c r="B116" s="75" t="s">
        <v>143</v>
      </c>
      <c r="C116" s="75">
        <v>11.0</v>
      </c>
      <c r="D116" s="75">
        <v>4.0</v>
      </c>
      <c r="E116" s="75">
        <v>6.0</v>
      </c>
      <c r="F116" s="75"/>
      <c r="G116" s="87">
        <f t="shared" si="294"/>
        <v>0.4</v>
      </c>
      <c r="H116" s="75">
        <v>3.0</v>
      </c>
      <c r="I116" s="75"/>
      <c r="J116" s="75">
        <v>0.0</v>
      </c>
      <c r="K116" s="75"/>
      <c r="L116" s="75">
        <v>0.0</v>
      </c>
      <c r="M116" s="75"/>
      <c r="N116" s="75">
        <v>7.0</v>
      </c>
      <c r="O116" s="75"/>
      <c r="P116" s="75">
        <v>5.0</v>
      </c>
      <c r="Q116" s="75"/>
      <c r="R116" s="75">
        <v>2.0</v>
      </c>
      <c r="S116" s="75"/>
      <c r="T116" s="75">
        <v>0.0</v>
      </c>
      <c r="U116" s="75"/>
      <c r="V116" s="75">
        <v>0.0</v>
      </c>
      <c r="W116" s="75"/>
      <c r="X116" s="108"/>
      <c r="Y116" s="108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>
        <v>0.0</v>
      </c>
      <c r="AK116" s="75"/>
      <c r="AL116" s="75">
        <v>24.0</v>
      </c>
    </row>
    <row r="117">
      <c r="A117" s="81" t="s">
        <v>123</v>
      </c>
      <c r="B117" s="81" t="s">
        <v>144</v>
      </c>
      <c r="C117" s="81">
        <v>12.0</v>
      </c>
      <c r="D117" s="81">
        <v>1.0</v>
      </c>
      <c r="E117" s="81">
        <v>3.0</v>
      </c>
      <c r="F117" s="81"/>
      <c r="G117" s="89">
        <f t="shared" si="294"/>
        <v>0.25</v>
      </c>
      <c r="H117" s="81">
        <v>1.0</v>
      </c>
      <c r="I117" s="81"/>
      <c r="J117" s="81">
        <v>0.0</v>
      </c>
      <c r="K117" s="81"/>
      <c r="L117" s="81">
        <v>0.0</v>
      </c>
      <c r="M117" s="81"/>
      <c r="N117" s="81">
        <v>2.0</v>
      </c>
      <c r="O117" s="81"/>
      <c r="P117" s="81">
        <v>2.0</v>
      </c>
      <c r="Q117" s="81"/>
      <c r="R117" s="81">
        <v>0.0</v>
      </c>
      <c r="S117" s="81"/>
      <c r="T117" s="81">
        <v>0.0</v>
      </c>
      <c r="U117" s="81"/>
      <c r="V117" s="81">
        <v>0.0</v>
      </c>
      <c r="W117" s="81"/>
      <c r="X117" s="103"/>
      <c r="Y117" s="103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>
        <v>0.0</v>
      </c>
      <c r="AK117" s="81"/>
      <c r="AL117" s="81">
        <v>6.0</v>
      </c>
    </row>
    <row r="118">
      <c r="A118" s="109" t="s">
        <v>124</v>
      </c>
      <c r="B118" s="109" t="s">
        <v>37</v>
      </c>
      <c r="C118" s="109">
        <v>11.0</v>
      </c>
      <c r="D118" s="109">
        <v>4.0</v>
      </c>
      <c r="E118" s="109">
        <v>5.0</v>
      </c>
      <c r="F118" s="110">
        <f>SUM(D118:E118)</f>
        <v>9</v>
      </c>
      <c r="G118" s="110">
        <f>PRODUCT(D118, (1/F118))</f>
        <v>0.4444444444</v>
      </c>
      <c r="H118" s="109">
        <v>2.0</v>
      </c>
      <c r="I118" s="109">
        <v>3.0</v>
      </c>
      <c r="J118" s="109">
        <v>0.0</v>
      </c>
      <c r="K118" s="109">
        <v>1.0</v>
      </c>
      <c r="L118" s="109">
        <v>0.0</v>
      </c>
      <c r="M118" s="109">
        <v>0.0</v>
      </c>
      <c r="N118" s="109">
        <v>2.0</v>
      </c>
      <c r="O118" s="109">
        <v>7.0</v>
      </c>
      <c r="P118" s="109">
        <v>2.0</v>
      </c>
      <c r="Q118" s="109">
        <v>2.0</v>
      </c>
      <c r="R118" s="109">
        <v>2.0</v>
      </c>
      <c r="S118" s="109">
        <v>3.0</v>
      </c>
      <c r="T118" s="109">
        <v>0.0</v>
      </c>
      <c r="U118" s="109">
        <v>0.0</v>
      </c>
      <c r="V118" s="109">
        <v>0.0</v>
      </c>
      <c r="W118" s="109">
        <v>0.0</v>
      </c>
      <c r="X118" s="109">
        <v>0.0</v>
      </c>
      <c r="Y118" s="109">
        <v>2.0</v>
      </c>
      <c r="Z118" s="111"/>
      <c r="AA118" s="111"/>
      <c r="AB118" s="111">
        <v>0.0</v>
      </c>
      <c r="AC118" s="111">
        <v>0.0</v>
      </c>
      <c r="AD118" s="112">
        <f t="shared" ref="AD118:AE118" si="295">PRODUCT(T118,2)</f>
        <v>0</v>
      </c>
      <c r="AE118" s="112">
        <f t="shared" si="295"/>
        <v>0</v>
      </c>
      <c r="AF118" s="112">
        <f t="shared" ref="AF118:AG118" si="296">PRODUCT(V118,3)</f>
        <v>0</v>
      </c>
      <c r="AG118" s="112">
        <f t="shared" si="296"/>
        <v>0</v>
      </c>
      <c r="AH118" s="112">
        <f t="shared" ref="AH118:AI118" si="297">PRODUCT(X118,4)</f>
        <v>0</v>
      </c>
      <c r="AI118" s="112">
        <f t="shared" si="297"/>
        <v>8</v>
      </c>
      <c r="AJ118" s="113">
        <f>PRODUCT(5,AB118)</f>
        <v>0</v>
      </c>
      <c r="AK118" s="113">
        <f>PRODUCT(AC118,5)</f>
        <v>0</v>
      </c>
      <c r="AL118" s="113">
        <v>12.0</v>
      </c>
    </row>
    <row r="119">
      <c r="A119" s="81" t="s">
        <v>125</v>
      </c>
      <c r="B119" s="81" t="s">
        <v>143</v>
      </c>
      <c r="C119" s="81">
        <v>11.0</v>
      </c>
      <c r="D119" s="81">
        <v>0.0</v>
      </c>
      <c r="E119" s="81">
        <v>3.0</v>
      </c>
      <c r="F119" s="81"/>
      <c r="G119" s="89">
        <f t="shared" ref="G119:G120" si="298">PRODUCT(D119,(1/(D119+E119)))</f>
        <v>0</v>
      </c>
      <c r="H119" s="81">
        <v>0.0</v>
      </c>
      <c r="I119" s="81"/>
      <c r="J119" s="81">
        <v>0.0</v>
      </c>
      <c r="K119" s="81"/>
      <c r="L119" s="81">
        <v>0.0</v>
      </c>
      <c r="M119" s="81"/>
      <c r="N119" s="81">
        <v>1.0</v>
      </c>
      <c r="O119" s="81"/>
      <c r="P119" s="81">
        <v>1.0</v>
      </c>
      <c r="Q119" s="81"/>
      <c r="R119" s="81">
        <v>0.0</v>
      </c>
      <c r="S119" s="81"/>
      <c r="T119" s="81">
        <v>0.0</v>
      </c>
      <c r="U119" s="81"/>
      <c r="V119" s="81">
        <v>0.0</v>
      </c>
      <c r="W119" s="81"/>
      <c r="X119" s="103"/>
      <c r="Y119" s="103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>
        <v>0.0</v>
      </c>
      <c r="AK119" s="81"/>
      <c r="AL119" s="81">
        <v>0.0</v>
      </c>
    </row>
    <row r="120">
      <c r="A120" s="75" t="s">
        <v>125</v>
      </c>
      <c r="B120" s="75" t="s">
        <v>144</v>
      </c>
      <c r="C120" s="75">
        <v>12.0</v>
      </c>
      <c r="D120" s="75">
        <v>2.0</v>
      </c>
      <c r="E120" s="75">
        <v>2.0</v>
      </c>
      <c r="F120" s="75"/>
      <c r="G120" s="87">
        <f t="shared" si="298"/>
        <v>0.5</v>
      </c>
      <c r="H120" s="75">
        <v>2.0</v>
      </c>
      <c r="I120" s="75"/>
      <c r="J120" s="75">
        <v>0.0</v>
      </c>
      <c r="K120" s="75"/>
      <c r="L120" s="75">
        <v>0.0</v>
      </c>
      <c r="M120" s="75"/>
      <c r="N120" s="75">
        <v>4.0</v>
      </c>
      <c r="O120" s="75"/>
      <c r="P120" s="75">
        <v>0.0</v>
      </c>
      <c r="Q120" s="75"/>
      <c r="R120" s="75">
        <v>0.0</v>
      </c>
      <c r="S120" s="75"/>
      <c r="T120" s="75">
        <v>0.0</v>
      </c>
      <c r="U120" s="75"/>
      <c r="V120" s="75">
        <v>0.0</v>
      </c>
      <c r="W120" s="75"/>
      <c r="X120" s="108"/>
      <c r="Y120" s="108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>
        <v>0.0</v>
      </c>
      <c r="AK120" s="75"/>
      <c r="AL120" s="75">
        <v>12.0</v>
      </c>
    </row>
    <row r="121">
      <c r="A121" s="104" t="s">
        <v>127</v>
      </c>
      <c r="B121" s="104" t="s">
        <v>37</v>
      </c>
      <c r="C121" s="104">
        <v>9.0</v>
      </c>
      <c r="D121" s="104">
        <v>23.0</v>
      </c>
      <c r="E121" s="104">
        <v>18.0</v>
      </c>
      <c r="F121" s="84">
        <f>SUM(D121:E121)</f>
        <v>41</v>
      </c>
      <c r="G121" s="84">
        <f>PRODUCT(D121, (1/F121))</f>
        <v>0.5609756098</v>
      </c>
      <c r="H121" s="104">
        <v>14.0</v>
      </c>
      <c r="I121" s="104">
        <v>10.0</v>
      </c>
      <c r="J121" s="104">
        <v>0.0</v>
      </c>
      <c r="K121" s="104">
        <v>5.0</v>
      </c>
      <c r="L121" s="104">
        <v>1.0</v>
      </c>
      <c r="M121" s="104">
        <v>2.0</v>
      </c>
      <c r="N121" s="104">
        <v>27.0</v>
      </c>
      <c r="O121" s="104">
        <v>32.0</v>
      </c>
      <c r="P121" s="104">
        <v>16.0</v>
      </c>
      <c r="Q121" s="104">
        <v>6.0</v>
      </c>
      <c r="R121" s="104">
        <v>0.0</v>
      </c>
      <c r="S121" s="104">
        <v>9.0</v>
      </c>
      <c r="T121" s="104">
        <v>3.0</v>
      </c>
      <c r="U121" s="104">
        <v>1.0</v>
      </c>
      <c r="V121" s="104">
        <v>1.0</v>
      </c>
      <c r="W121" s="104">
        <v>6.0</v>
      </c>
      <c r="X121" s="104">
        <v>6.0</v>
      </c>
      <c r="Y121" s="104">
        <v>13.0</v>
      </c>
      <c r="Z121" s="105"/>
      <c r="AA121" s="105"/>
      <c r="AB121" s="105">
        <v>0.0</v>
      </c>
      <c r="AC121" s="105">
        <v>0.0</v>
      </c>
      <c r="AD121" s="106">
        <f t="shared" ref="AD121:AE121" si="299">PRODUCT(T121,2)</f>
        <v>6</v>
      </c>
      <c r="AE121" s="106">
        <f t="shared" si="299"/>
        <v>2</v>
      </c>
      <c r="AF121" s="106">
        <f t="shared" ref="AF121:AG121" si="300">PRODUCT(V121,3)</f>
        <v>3</v>
      </c>
      <c r="AG121" s="106">
        <f t="shared" si="300"/>
        <v>18</v>
      </c>
      <c r="AH121" s="106">
        <f t="shared" ref="AH121:AI121" si="301">PRODUCT(X121,4)</f>
        <v>24</v>
      </c>
      <c r="AI121" s="106">
        <f t="shared" si="301"/>
        <v>52</v>
      </c>
      <c r="AJ121" s="107">
        <f>PRODUCT(5,AB121)</f>
        <v>0</v>
      </c>
      <c r="AK121" s="107">
        <f>PRODUCT(AC121,5)</f>
        <v>0</v>
      </c>
      <c r="AL121" s="107">
        <v>91.0</v>
      </c>
    </row>
    <row r="122">
      <c r="A122" s="75" t="s">
        <v>128</v>
      </c>
      <c r="B122" s="75" t="s">
        <v>142</v>
      </c>
      <c r="C122" s="75"/>
      <c r="D122" s="75">
        <v>1.0</v>
      </c>
      <c r="E122" s="75">
        <v>7.0</v>
      </c>
      <c r="F122" s="75"/>
      <c r="G122" s="87">
        <f>PRODUCT(D122,(1/(D122+E122)))</f>
        <v>0.125</v>
      </c>
      <c r="H122" s="75">
        <v>0.0</v>
      </c>
      <c r="I122" s="75"/>
      <c r="J122" s="75">
        <v>0.0</v>
      </c>
      <c r="K122" s="75"/>
      <c r="L122" s="75">
        <v>0.0</v>
      </c>
      <c r="M122" s="75"/>
      <c r="N122" s="75">
        <v>4.0</v>
      </c>
      <c r="O122" s="75"/>
      <c r="P122" s="75">
        <v>6.0</v>
      </c>
      <c r="Q122" s="75"/>
      <c r="R122" s="75">
        <v>0.0</v>
      </c>
      <c r="S122" s="75"/>
      <c r="T122" s="75">
        <v>0.0</v>
      </c>
      <c r="U122" s="75"/>
      <c r="V122" s="75">
        <v>0.0</v>
      </c>
      <c r="W122" s="75"/>
      <c r="X122" s="108"/>
      <c r="Y122" s="108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>
        <v>0.0</v>
      </c>
      <c r="AK122" s="75"/>
      <c r="AL122" s="75">
        <v>6.0</v>
      </c>
    </row>
    <row r="123">
      <c r="A123" s="13" t="s">
        <v>129</v>
      </c>
      <c r="B123" s="13" t="s">
        <v>58</v>
      </c>
      <c r="C123" s="13">
        <v>11.0</v>
      </c>
      <c r="D123" s="13">
        <v>0.0</v>
      </c>
      <c r="E123" s="13">
        <v>2.0</v>
      </c>
      <c r="F123" s="13">
        <f>SUM(D123:E123)</f>
        <v>2</v>
      </c>
      <c r="G123" s="90">
        <f>PRODUCT(D123,(1/F123))</f>
        <v>0</v>
      </c>
      <c r="H123" s="13">
        <v>0.0</v>
      </c>
      <c r="I123" s="13">
        <v>2.0</v>
      </c>
      <c r="J123" s="13">
        <v>0.0</v>
      </c>
      <c r="K123" s="13">
        <v>0.0</v>
      </c>
      <c r="L123" s="13">
        <v>0.0</v>
      </c>
      <c r="M123" s="13">
        <v>0.0</v>
      </c>
      <c r="N123" s="13">
        <v>2.0</v>
      </c>
      <c r="O123" s="13">
        <v>2.0</v>
      </c>
      <c r="P123" s="13">
        <v>0.0</v>
      </c>
      <c r="Q123" s="13">
        <v>2.0</v>
      </c>
      <c r="R123" s="13">
        <v>0.0</v>
      </c>
      <c r="S123" s="13">
        <v>0.0</v>
      </c>
      <c r="T123" s="13">
        <v>1.0</v>
      </c>
      <c r="U123" s="13">
        <v>0.0</v>
      </c>
      <c r="V123" s="13">
        <v>0.0</v>
      </c>
      <c r="W123" s="13">
        <v>0.0</v>
      </c>
      <c r="X123" s="81">
        <v>0.0</v>
      </c>
      <c r="Y123" s="81">
        <v>0.0</v>
      </c>
      <c r="Z123" s="13"/>
      <c r="AA123" s="13"/>
      <c r="AB123" s="13">
        <f t="shared" ref="AB123:AC123" si="302">PRODUCT(T123,2)</f>
        <v>2</v>
      </c>
      <c r="AC123" s="13">
        <f t="shared" si="302"/>
        <v>0</v>
      </c>
      <c r="AD123" s="13">
        <f t="shared" ref="AD123:AE123" si="303">PRODUCT(V123,3)</f>
        <v>0</v>
      </c>
      <c r="AE123" s="13">
        <f t="shared" si="303"/>
        <v>0</v>
      </c>
      <c r="AF123" s="13">
        <f t="shared" ref="AF123:AG123" si="304">PRODUCT(X123,4)</f>
        <v>0</v>
      </c>
      <c r="AG123" s="13">
        <f t="shared" si="304"/>
        <v>0</v>
      </c>
      <c r="AH123" s="13"/>
      <c r="AI123" s="13"/>
      <c r="AJ123" s="13">
        <f t="shared" ref="AJ123:AK123" si="305">SUM(AB123,AD123,AF123)</f>
        <v>2</v>
      </c>
      <c r="AK123" s="13">
        <f t="shared" si="305"/>
        <v>0</v>
      </c>
      <c r="AL123" s="13">
        <v>0.0</v>
      </c>
    </row>
    <row r="124">
      <c r="A124" s="75" t="s">
        <v>130</v>
      </c>
      <c r="B124" s="75" t="s">
        <v>142</v>
      </c>
      <c r="C124" s="75"/>
      <c r="D124" s="75">
        <v>8.0</v>
      </c>
      <c r="E124" s="75">
        <v>1.0</v>
      </c>
      <c r="F124" s="75"/>
      <c r="G124" s="87">
        <f t="shared" ref="G124:G125" si="306">PRODUCT(D124,(1/(D124+E124)))</f>
        <v>0.8888888889</v>
      </c>
      <c r="H124" s="75">
        <v>5.0</v>
      </c>
      <c r="I124" s="75"/>
      <c r="J124" s="75">
        <v>0.0</v>
      </c>
      <c r="K124" s="75"/>
      <c r="L124" s="75">
        <v>0.0</v>
      </c>
      <c r="M124" s="75"/>
      <c r="N124" s="75">
        <v>11.0</v>
      </c>
      <c r="O124" s="75"/>
      <c r="P124" s="75">
        <v>5.0</v>
      </c>
      <c r="Q124" s="75"/>
      <c r="R124" s="75">
        <v>2.0</v>
      </c>
      <c r="S124" s="75"/>
      <c r="T124" s="75">
        <v>1.0</v>
      </c>
      <c r="U124" s="75"/>
      <c r="V124" s="75">
        <v>4.0</v>
      </c>
      <c r="W124" s="75"/>
      <c r="X124" s="108"/>
      <c r="Y124" s="108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>
        <v>13.0</v>
      </c>
      <c r="AK124" s="75"/>
      <c r="AL124" s="75">
        <v>43.0</v>
      </c>
    </row>
    <row r="125">
      <c r="A125" s="81" t="s">
        <v>131</v>
      </c>
      <c r="B125" s="81" t="s">
        <v>51</v>
      </c>
      <c r="C125" s="81">
        <v>10.0</v>
      </c>
      <c r="D125" s="81">
        <v>6.0</v>
      </c>
      <c r="E125" s="81">
        <v>6.0</v>
      </c>
      <c r="F125" s="81"/>
      <c r="G125" s="89">
        <f t="shared" si="306"/>
        <v>0.5</v>
      </c>
      <c r="H125" s="81">
        <v>6.0</v>
      </c>
      <c r="I125" s="81"/>
      <c r="J125" s="81">
        <v>0.0</v>
      </c>
      <c r="K125" s="81"/>
      <c r="L125" s="81">
        <v>0.0</v>
      </c>
      <c r="M125" s="81"/>
      <c r="N125" s="81">
        <v>5.0</v>
      </c>
      <c r="O125" s="81"/>
      <c r="P125" s="81">
        <v>0.0</v>
      </c>
      <c r="Q125" s="81"/>
      <c r="R125" s="81">
        <v>3.0</v>
      </c>
      <c r="S125" s="81"/>
      <c r="T125" s="81">
        <v>1.0</v>
      </c>
      <c r="U125" s="81"/>
      <c r="V125" s="81">
        <v>0.0</v>
      </c>
      <c r="W125" s="81"/>
      <c r="X125" s="103"/>
      <c r="Y125" s="103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>
        <v>2.0</v>
      </c>
      <c r="AK125" s="81"/>
      <c r="AL125" s="81">
        <v>36.0</v>
      </c>
    </row>
    <row r="126">
      <c r="A126" s="25" t="s">
        <v>131</v>
      </c>
      <c r="B126" s="25" t="s">
        <v>58</v>
      </c>
      <c r="C126" s="25">
        <v>11.0</v>
      </c>
      <c r="D126" s="25">
        <v>3.0</v>
      </c>
      <c r="E126" s="25">
        <v>2.0</v>
      </c>
      <c r="F126" s="25">
        <f>SUM(D126:E126)</f>
        <v>5</v>
      </c>
      <c r="G126" s="82">
        <f>PRODUCT(D126,(1/F126))</f>
        <v>0.6</v>
      </c>
      <c r="H126" s="25">
        <v>1.0</v>
      </c>
      <c r="I126" s="25">
        <v>2.0</v>
      </c>
      <c r="J126" s="25">
        <v>0.0</v>
      </c>
      <c r="K126" s="25">
        <v>0.0</v>
      </c>
      <c r="L126" s="25">
        <v>0.0</v>
      </c>
      <c r="M126" s="25">
        <v>0.0</v>
      </c>
      <c r="N126" s="25">
        <v>2.0</v>
      </c>
      <c r="O126" s="25">
        <v>4.0</v>
      </c>
      <c r="P126" s="25">
        <v>1.0</v>
      </c>
      <c r="Q126" s="25">
        <v>4.0</v>
      </c>
      <c r="R126" s="25">
        <v>2.0</v>
      </c>
      <c r="S126" s="25">
        <v>1.0</v>
      </c>
      <c r="T126" s="25">
        <v>0.0</v>
      </c>
      <c r="U126" s="25">
        <v>3.0</v>
      </c>
      <c r="V126" s="25">
        <v>0.0</v>
      </c>
      <c r="W126" s="25">
        <v>2.0</v>
      </c>
      <c r="X126" s="75">
        <v>0.0</v>
      </c>
      <c r="Y126" s="75">
        <v>0.0</v>
      </c>
      <c r="Z126" s="25"/>
      <c r="AA126" s="25"/>
      <c r="AB126" s="25">
        <f t="shared" ref="AB126:AC126" si="307">PRODUCT(T126,2)</f>
        <v>0</v>
      </c>
      <c r="AC126" s="25">
        <f t="shared" si="307"/>
        <v>6</v>
      </c>
      <c r="AD126" s="25">
        <f t="shared" ref="AD126:AE126" si="308">PRODUCT(V126,3)</f>
        <v>0</v>
      </c>
      <c r="AE126" s="25">
        <f t="shared" si="308"/>
        <v>6</v>
      </c>
      <c r="AF126" s="25">
        <f t="shared" ref="AF126:AG126" si="309">PRODUCT(X126,4)</f>
        <v>0</v>
      </c>
      <c r="AG126" s="25">
        <f t="shared" si="309"/>
        <v>0</v>
      </c>
      <c r="AH126" s="25"/>
      <c r="AI126" s="25"/>
      <c r="AJ126" s="25">
        <f t="shared" ref="AJ126:AK126" si="310">SUM(AB126,AD126,AF126)</f>
        <v>0</v>
      </c>
      <c r="AK126" s="25">
        <f t="shared" si="310"/>
        <v>12</v>
      </c>
      <c r="AL126" s="25">
        <v>0.0</v>
      </c>
    </row>
    <row r="127">
      <c r="A127" s="81" t="s">
        <v>132</v>
      </c>
      <c r="B127" s="81" t="s">
        <v>51</v>
      </c>
      <c r="C127" s="81">
        <v>10.0</v>
      </c>
      <c r="D127" s="81">
        <v>8.0</v>
      </c>
      <c r="E127" s="81">
        <v>15.0</v>
      </c>
      <c r="F127" s="81"/>
      <c r="G127" s="89">
        <f t="shared" ref="G127:G128" si="311">PRODUCT(D127,(1/(D127+E127)))</f>
        <v>0.347826087</v>
      </c>
      <c r="H127" s="81">
        <v>8.0</v>
      </c>
      <c r="I127" s="81"/>
      <c r="J127" s="81">
        <v>0.0</v>
      </c>
      <c r="K127" s="81"/>
      <c r="L127" s="81">
        <v>0.0</v>
      </c>
      <c r="M127" s="81"/>
      <c r="N127" s="81">
        <v>15.0</v>
      </c>
      <c r="O127" s="81"/>
      <c r="P127" s="81">
        <v>13.0</v>
      </c>
      <c r="Q127" s="81"/>
      <c r="R127" s="81">
        <v>8.0</v>
      </c>
      <c r="S127" s="81"/>
      <c r="T127" s="81">
        <v>1.0</v>
      </c>
      <c r="U127" s="81"/>
      <c r="V127" s="81">
        <v>1.0</v>
      </c>
      <c r="W127" s="81"/>
      <c r="X127" s="103"/>
      <c r="Y127" s="103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>
        <v>5.0</v>
      </c>
      <c r="AK127" s="81"/>
      <c r="AL127" s="81">
        <v>48.0</v>
      </c>
    </row>
    <row r="128">
      <c r="A128" s="75" t="s">
        <v>133</v>
      </c>
      <c r="B128" s="75" t="s">
        <v>142</v>
      </c>
      <c r="C128" s="75"/>
      <c r="D128" s="75">
        <v>7.0</v>
      </c>
      <c r="E128" s="75">
        <v>3.0</v>
      </c>
      <c r="F128" s="75"/>
      <c r="G128" s="87">
        <f t="shared" si="311"/>
        <v>0.7</v>
      </c>
      <c r="H128" s="75">
        <v>6.0</v>
      </c>
      <c r="I128" s="75"/>
      <c r="J128" s="75">
        <v>0.0</v>
      </c>
      <c r="K128" s="75"/>
      <c r="L128" s="75">
        <v>1.0</v>
      </c>
      <c r="M128" s="75"/>
      <c r="N128" s="75">
        <v>11.0</v>
      </c>
      <c r="O128" s="75"/>
      <c r="P128" s="75">
        <v>1.0</v>
      </c>
      <c r="Q128" s="75"/>
      <c r="R128" s="75">
        <v>2.0</v>
      </c>
      <c r="S128" s="75"/>
      <c r="T128" s="75">
        <v>1.0</v>
      </c>
      <c r="U128" s="75"/>
      <c r="V128" s="75">
        <v>3.0</v>
      </c>
      <c r="W128" s="75"/>
      <c r="X128" s="108"/>
      <c r="Y128" s="108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>
        <v>11.0</v>
      </c>
      <c r="AK128" s="75"/>
      <c r="AL128" s="75">
        <v>39.0</v>
      </c>
    </row>
    <row r="129">
      <c r="A129" s="13" t="s">
        <v>134</v>
      </c>
      <c r="B129" s="13" t="s">
        <v>58</v>
      </c>
      <c r="C129" s="13">
        <v>11.0</v>
      </c>
      <c r="D129" s="13">
        <v>7.0</v>
      </c>
      <c r="E129" s="13">
        <v>9.0</v>
      </c>
      <c r="F129" s="13">
        <f t="shared" ref="F129:F132" si="316">SUM(D129:E129)</f>
        <v>16</v>
      </c>
      <c r="G129" s="90">
        <f>PRODUCT(D129,(1/F129))</f>
        <v>0.4375</v>
      </c>
      <c r="H129" s="13">
        <v>4.0</v>
      </c>
      <c r="I129" s="13">
        <v>8.0</v>
      </c>
      <c r="J129" s="13">
        <v>0.0</v>
      </c>
      <c r="K129" s="13">
        <v>0.0</v>
      </c>
      <c r="L129" s="13">
        <v>0.0</v>
      </c>
      <c r="M129" s="13">
        <v>1.0</v>
      </c>
      <c r="N129" s="13">
        <v>10.0</v>
      </c>
      <c r="O129" s="13">
        <v>14.0</v>
      </c>
      <c r="P129" s="13">
        <v>6.0</v>
      </c>
      <c r="Q129" s="13">
        <v>4.0</v>
      </c>
      <c r="R129" s="13">
        <v>3.0</v>
      </c>
      <c r="S129" s="13">
        <v>2.0</v>
      </c>
      <c r="T129" s="13">
        <v>4.0</v>
      </c>
      <c r="U129" s="13">
        <v>2.0</v>
      </c>
      <c r="V129" s="13">
        <v>1.0</v>
      </c>
      <c r="W129" s="13">
        <v>4.0</v>
      </c>
      <c r="X129" s="81">
        <v>0.0</v>
      </c>
      <c r="Y129" s="81">
        <v>0.0</v>
      </c>
      <c r="Z129" s="13"/>
      <c r="AA129" s="13"/>
      <c r="AB129" s="13">
        <f t="shared" ref="AB129:AC129" si="312">PRODUCT(T129,2)</f>
        <v>8</v>
      </c>
      <c r="AC129" s="13">
        <f t="shared" si="312"/>
        <v>4</v>
      </c>
      <c r="AD129" s="13">
        <f t="shared" ref="AD129:AE129" si="313">PRODUCT(V129,3)</f>
        <v>3</v>
      </c>
      <c r="AE129" s="13">
        <f t="shared" si="313"/>
        <v>12</v>
      </c>
      <c r="AF129" s="13">
        <f t="shared" ref="AF129:AG129" si="314">PRODUCT(X129,4)</f>
        <v>0</v>
      </c>
      <c r="AG129" s="13">
        <f t="shared" si="314"/>
        <v>0</v>
      </c>
      <c r="AH129" s="13"/>
      <c r="AI129" s="13"/>
      <c r="AJ129" s="13">
        <f t="shared" ref="AJ129:AK129" si="315">SUM(AB129,AD129,AF129)</f>
        <v>11</v>
      </c>
      <c r="AK129" s="13">
        <f t="shared" si="315"/>
        <v>16</v>
      </c>
      <c r="AL129" s="13">
        <v>6.0</v>
      </c>
    </row>
    <row r="130">
      <c r="A130" s="25" t="s">
        <v>134</v>
      </c>
      <c r="B130" s="75" t="s">
        <v>59</v>
      </c>
      <c r="C130" s="25">
        <v>12.0</v>
      </c>
      <c r="D130" s="25">
        <v>7.0</v>
      </c>
      <c r="E130" s="25">
        <v>7.0</v>
      </c>
      <c r="F130" s="25">
        <f t="shared" si="316"/>
        <v>14</v>
      </c>
      <c r="G130" s="43">
        <f t="shared" ref="G130:G132" si="321">PRODUCT(D130, (1/F130))</f>
        <v>0.5</v>
      </c>
      <c r="H130" s="25">
        <v>6.0</v>
      </c>
      <c r="I130" s="25">
        <v>7.0</v>
      </c>
      <c r="J130" s="25">
        <v>0.0</v>
      </c>
      <c r="K130" s="25">
        <v>0.0</v>
      </c>
      <c r="L130" s="25">
        <v>0.0</v>
      </c>
      <c r="M130" s="25">
        <v>0.0</v>
      </c>
      <c r="N130" s="25">
        <v>14.0</v>
      </c>
      <c r="O130" s="25">
        <v>10.0</v>
      </c>
      <c r="P130" s="25">
        <v>8.0</v>
      </c>
      <c r="Q130" s="25">
        <v>3.0</v>
      </c>
      <c r="R130" s="25">
        <v>0.0</v>
      </c>
      <c r="S130" s="25">
        <v>6.0</v>
      </c>
      <c r="T130" s="25">
        <v>4.0</v>
      </c>
      <c r="U130" s="25">
        <v>2.0</v>
      </c>
      <c r="V130" s="25">
        <v>2.0</v>
      </c>
      <c r="W130" s="25">
        <v>2.0</v>
      </c>
      <c r="X130" s="75">
        <v>0.0</v>
      </c>
      <c r="Y130" s="75">
        <v>0.0</v>
      </c>
      <c r="Z130" s="25"/>
      <c r="AA130" s="25"/>
      <c r="AB130" s="25">
        <f t="shared" ref="AB130:AC130" si="317">PRODUCT(T130,2)</f>
        <v>8</v>
      </c>
      <c r="AC130" s="25">
        <f t="shared" si="317"/>
        <v>4</v>
      </c>
      <c r="AD130" s="25">
        <f t="shared" ref="AD130:AE130" si="318">PRODUCT(V130,3)</f>
        <v>6</v>
      </c>
      <c r="AE130" s="25">
        <f t="shared" si="318"/>
        <v>6</v>
      </c>
      <c r="AF130" s="25">
        <f t="shared" ref="AF130:AG130" si="319">PRODUCT(X130,4)</f>
        <v>0</v>
      </c>
      <c r="AG130" s="25">
        <f t="shared" si="319"/>
        <v>0</v>
      </c>
      <c r="AH130" s="25"/>
      <c r="AI130" s="25"/>
      <c r="AJ130" s="25">
        <f t="shared" ref="AJ130:AK130" si="320">SUM(AB130,AD130,AF130)</f>
        <v>14</v>
      </c>
      <c r="AK130" s="25">
        <f t="shared" si="320"/>
        <v>10</v>
      </c>
      <c r="AL130" s="25">
        <v>30.0</v>
      </c>
    </row>
    <row r="131">
      <c r="A131" s="13" t="s">
        <v>135</v>
      </c>
      <c r="B131" s="81" t="s">
        <v>59</v>
      </c>
      <c r="C131" s="13">
        <v>11.0</v>
      </c>
      <c r="D131" s="13">
        <v>8.0</v>
      </c>
      <c r="E131" s="13">
        <v>9.0</v>
      </c>
      <c r="F131" s="13">
        <f t="shared" si="316"/>
        <v>17</v>
      </c>
      <c r="G131" s="42">
        <f t="shared" si="321"/>
        <v>0.4705882353</v>
      </c>
      <c r="H131" s="13">
        <v>5.0</v>
      </c>
      <c r="I131" s="13">
        <v>5.0</v>
      </c>
      <c r="J131" s="13">
        <v>0.0</v>
      </c>
      <c r="K131" s="13">
        <v>0.0</v>
      </c>
      <c r="L131" s="13">
        <v>0.0</v>
      </c>
      <c r="M131" s="13">
        <v>0.0</v>
      </c>
      <c r="N131" s="13">
        <v>22.0</v>
      </c>
      <c r="O131" s="13">
        <v>19.0</v>
      </c>
      <c r="P131" s="13">
        <v>9.0</v>
      </c>
      <c r="Q131" s="13">
        <v>16.0</v>
      </c>
      <c r="R131" s="13">
        <v>6.0</v>
      </c>
      <c r="S131" s="13">
        <v>6.0</v>
      </c>
      <c r="T131" s="13">
        <v>1.0</v>
      </c>
      <c r="U131" s="13">
        <v>2.0</v>
      </c>
      <c r="V131" s="13">
        <v>1.0</v>
      </c>
      <c r="W131" s="13">
        <v>0.0</v>
      </c>
      <c r="X131" s="81">
        <v>0.0</v>
      </c>
      <c r="Y131" s="81">
        <v>0.0</v>
      </c>
      <c r="Z131" s="13"/>
      <c r="AA131" s="13"/>
      <c r="AB131" s="13">
        <f t="shared" ref="AB131:AC131" si="322">PRODUCT(T131,2)</f>
        <v>2</v>
      </c>
      <c r="AC131" s="13">
        <f t="shared" si="322"/>
        <v>4</v>
      </c>
      <c r="AD131" s="13">
        <f t="shared" ref="AD131:AE131" si="323">PRODUCT(V131,3)</f>
        <v>3</v>
      </c>
      <c r="AE131" s="13">
        <f t="shared" si="323"/>
        <v>0</v>
      </c>
      <c r="AF131" s="13">
        <f t="shared" ref="AF131:AG131" si="324">PRODUCT(X131,4)</f>
        <v>0</v>
      </c>
      <c r="AG131" s="13">
        <f t="shared" si="324"/>
        <v>0</v>
      </c>
      <c r="AH131" s="13"/>
      <c r="AI131" s="13"/>
      <c r="AJ131" s="13">
        <f t="shared" ref="AJ131:AK131" si="325">SUM(AB131,AD131,AF131)</f>
        <v>5</v>
      </c>
      <c r="AK131" s="13">
        <f t="shared" si="325"/>
        <v>4</v>
      </c>
      <c r="AL131" s="13">
        <v>34.0</v>
      </c>
    </row>
    <row r="132">
      <c r="A132" s="25" t="s">
        <v>135</v>
      </c>
      <c r="B132" s="75" t="s">
        <v>50</v>
      </c>
      <c r="C132" s="25">
        <v>12.0</v>
      </c>
      <c r="D132" s="25">
        <v>12.0</v>
      </c>
      <c r="E132" s="25">
        <v>22.0</v>
      </c>
      <c r="F132" s="25">
        <f t="shared" si="316"/>
        <v>34</v>
      </c>
      <c r="G132" s="43">
        <f t="shared" si="321"/>
        <v>0.3529411765</v>
      </c>
      <c r="H132" s="25">
        <v>8.0</v>
      </c>
      <c r="I132" s="25">
        <v>18.0</v>
      </c>
      <c r="J132" s="25">
        <v>0.0</v>
      </c>
      <c r="K132" s="25">
        <v>1.0</v>
      </c>
      <c r="L132" s="25">
        <v>0.0</v>
      </c>
      <c r="M132" s="25">
        <v>1.0</v>
      </c>
      <c r="N132" s="25">
        <v>11.0</v>
      </c>
      <c r="O132" s="25">
        <v>27.0</v>
      </c>
      <c r="P132" s="25">
        <v>4.0</v>
      </c>
      <c r="Q132" s="25">
        <v>13.0</v>
      </c>
      <c r="R132" s="25">
        <v>6.0</v>
      </c>
      <c r="S132" s="25">
        <v>5.0</v>
      </c>
      <c r="T132" s="25">
        <v>0.0</v>
      </c>
      <c r="U132" s="25">
        <v>1.0</v>
      </c>
      <c r="V132" s="25">
        <v>0.0</v>
      </c>
      <c r="W132" s="25">
        <v>0.0</v>
      </c>
      <c r="X132" s="25">
        <v>2.0</v>
      </c>
      <c r="Y132" s="25">
        <v>3.0</v>
      </c>
      <c r="Z132" s="25"/>
      <c r="AA132" s="25"/>
      <c r="AB132" s="25">
        <f t="shared" ref="AB132:AC132" si="326">PRODUCT(T132,2)</f>
        <v>0</v>
      </c>
      <c r="AC132" s="25">
        <f t="shared" si="326"/>
        <v>2</v>
      </c>
      <c r="AD132" s="25">
        <f t="shared" ref="AD132:AE132" si="327">PRODUCT(V132,3)</f>
        <v>0</v>
      </c>
      <c r="AE132" s="25">
        <f t="shared" si="327"/>
        <v>0</v>
      </c>
      <c r="AF132" s="25">
        <f t="shared" ref="AF132:AG132" si="328">PRODUCT(X132,4)</f>
        <v>8</v>
      </c>
      <c r="AG132" s="25">
        <f t="shared" si="328"/>
        <v>12</v>
      </c>
      <c r="AH132" s="25"/>
      <c r="AI132" s="25"/>
      <c r="AJ132" s="25">
        <f t="shared" ref="AJ132:AK132" si="329">SUM(AB132,AD132,AF132)</f>
        <v>8</v>
      </c>
      <c r="AK132" s="25">
        <f t="shared" si="329"/>
        <v>14</v>
      </c>
      <c r="AL132" s="25">
        <v>71.0</v>
      </c>
    </row>
    <row r="133">
      <c r="A133" s="81" t="s">
        <v>12</v>
      </c>
      <c r="B133" s="81" t="s">
        <v>143</v>
      </c>
      <c r="C133" s="81">
        <v>9.0</v>
      </c>
      <c r="D133" s="81">
        <v>3.0</v>
      </c>
      <c r="E133" s="81">
        <v>4.0</v>
      </c>
      <c r="F133" s="81"/>
      <c r="G133" s="89">
        <f t="shared" ref="G133:G135" si="330">PRODUCT(D133,(1/(D133+E133)))</f>
        <v>0.4285714286</v>
      </c>
      <c r="H133" s="81">
        <v>3.0</v>
      </c>
      <c r="I133" s="81"/>
      <c r="J133" s="81">
        <v>0.0</v>
      </c>
      <c r="K133" s="81"/>
      <c r="L133" s="81">
        <v>0.0</v>
      </c>
      <c r="M133" s="81"/>
      <c r="N133" s="81">
        <v>7.0</v>
      </c>
      <c r="O133" s="81"/>
      <c r="P133" s="81">
        <v>4.0</v>
      </c>
      <c r="Q133" s="81"/>
      <c r="R133" s="81">
        <v>0.0</v>
      </c>
      <c r="S133" s="81"/>
      <c r="T133" s="81">
        <v>0.0</v>
      </c>
      <c r="U133" s="81"/>
      <c r="V133" s="81">
        <v>0.0</v>
      </c>
      <c r="W133" s="81"/>
      <c r="X133" s="103"/>
      <c r="Y133" s="103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>
        <v>0.0</v>
      </c>
      <c r="AK133" s="81"/>
      <c r="AL133" s="81">
        <v>18.0</v>
      </c>
    </row>
    <row r="134">
      <c r="A134" s="75" t="s">
        <v>12</v>
      </c>
      <c r="B134" s="75" t="s">
        <v>144</v>
      </c>
      <c r="C134" s="75">
        <v>10.0</v>
      </c>
      <c r="D134" s="75">
        <v>0.0</v>
      </c>
      <c r="E134" s="75">
        <v>1.0</v>
      </c>
      <c r="F134" s="75"/>
      <c r="G134" s="87">
        <f t="shared" si="330"/>
        <v>0</v>
      </c>
      <c r="H134" s="75">
        <v>0.0</v>
      </c>
      <c r="I134" s="75"/>
      <c r="J134" s="75">
        <v>0.0</v>
      </c>
      <c r="K134" s="75"/>
      <c r="L134" s="75">
        <v>0.0</v>
      </c>
      <c r="M134" s="75"/>
      <c r="N134" s="75">
        <v>0.0</v>
      </c>
      <c r="O134" s="75"/>
      <c r="P134" s="75">
        <v>0.0</v>
      </c>
      <c r="Q134" s="75"/>
      <c r="R134" s="75">
        <v>1.0</v>
      </c>
      <c r="S134" s="75"/>
      <c r="T134" s="75">
        <v>0.0</v>
      </c>
      <c r="U134" s="75"/>
      <c r="V134" s="75">
        <v>0.0</v>
      </c>
      <c r="W134" s="75"/>
      <c r="X134" s="108"/>
      <c r="Y134" s="108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>
        <v>0.0</v>
      </c>
      <c r="AK134" s="75"/>
      <c r="AL134" s="75">
        <v>0.0</v>
      </c>
    </row>
    <row r="135">
      <c r="A135" s="81" t="s">
        <v>12</v>
      </c>
      <c r="B135" s="81" t="s">
        <v>51</v>
      </c>
      <c r="C135" s="81">
        <v>11.0</v>
      </c>
      <c r="D135" s="81">
        <v>17.0</v>
      </c>
      <c r="E135" s="81">
        <v>8.0</v>
      </c>
      <c r="F135" s="81"/>
      <c r="G135" s="89">
        <f t="shared" si="330"/>
        <v>0.68</v>
      </c>
      <c r="H135" s="81">
        <v>14.0</v>
      </c>
      <c r="I135" s="81"/>
      <c r="J135" s="81">
        <v>0.0</v>
      </c>
      <c r="K135" s="81"/>
      <c r="L135" s="81">
        <v>0.0</v>
      </c>
      <c r="M135" s="81"/>
      <c r="N135" s="81">
        <v>23.0</v>
      </c>
      <c r="O135" s="81"/>
      <c r="P135" s="81">
        <v>4.0</v>
      </c>
      <c r="Q135" s="81"/>
      <c r="R135" s="81">
        <v>1.0</v>
      </c>
      <c r="S135" s="81"/>
      <c r="T135" s="81">
        <v>1.0</v>
      </c>
      <c r="U135" s="81"/>
      <c r="V135" s="81">
        <v>1.0</v>
      </c>
      <c r="W135" s="81"/>
      <c r="X135" s="103"/>
      <c r="Y135" s="103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>
        <v>5.0</v>
      </c>
      <c r="AK135" s="81"/>
      <c r="AL135" s="81">
        <v>99.0</v>
      </c>
    </row>
    <row r="136">
      <c r="A136" s="25" t="s">
        <v>12</v>
      </c>
      <c r="B136" s="25" t="s">
        <v>58</v>
      </c>
      <c r="C136" s="25">
        <v>12.0</v>
      </c>
      <c r="D136" s="25">
        <v>34.0</v>
      </c>
      <c r="E136" s="25">
        <v>8.0</v>
      </c>
      <c r="F136" s="25">
        <f t="shared" ref="F136:F150" si="335">SUM(D136:E136)</f>
        <v>42</v>
      </c>
      <c r="G136" s="82">
        <f>PRODUCT(D136,(1/F136))</f>
        <v>0.8095238095</v>
      </c>
      <c r="H136" s="25">
        <v>24.0</v>
      </c>
      <c r="I136" s="25">
        <v>4.0</v>
      </c>
      <c r="J136" s="25">
        <v>0.0</v>
      </c>
      <c r="K136" s="25">
        <v>0.0</v>
      </c>
      <c r="L136" s="25">
        <v>1.0</v>
      </c>
      <c r="M136" s="25">
        <v>2.0</v>
      </c>
      <c r="N136" s="25">
        <v>29.0</v>
      </c>
      <c r="O136" s="25">
        <v>25.0</v>
      </c>
      <c r="P136" s="25">
        <v>12.0</v>
      </c>
      <c r="Q136" s="25">
        <v>6.0</v>
      </c>
      <c r="R136" s="25">
        <v>4.0</v>
      </c>
      <c r="S136" s="25">
        <v>5.0</v>
      </c>
      <c r="T136" s="25">
        <v>3.0</v>
      </c>
      <c r="U136" s="25">
        <v>2.0</v>
      </c>
      <c r="V136" s="25">
        <v>5.0</v>
      </c>
      <c r="W136" s="25">
        <v>2.0</v>
      </c>
      <c r="X136" s="75">
        <v>0.0</v>
      </c>
      <c r="Y136" s="75">
        <v>0.0</v>
      </c>
      <c r="Z136" s="25"/>
      <c r="AA136" s="25"/>
      <c r="AB136" s="25">
        <f t="shared" ref="AB136:AC136" si="331">PRODUCT(T136,2)</f>
        <v>6</v>
      </c>
      <c r="AC136" s="25">
        <f t="shared" si="331"/>
        <v>4</v>
      </c>
      <c r="AD136" s="25">
        <f t="shared" ref="AD136:AE136" si="332">PRODUCT(V136,3)</f>
        <v>15</v>
      </c>
      <c r="AE136" s="25">
        <f t="shared" si="332"/>
        <v>6</v>
      </c>
      <c r="AF136" s="25">
        <f t="shared" ref="AF136:AG136" si="333">PRODUCT(X136,4)</f>
        <v>0</v>
      </c>
      <c r="AG136" s="25">
        <f t="shared" si="333"/>
        <v>0</v>
      </c>
      <c r="AH136" s="25"/>
      <c r="AI136" s="25"/>
      <c r="AJ136" s="25">
        <f t="shared" ref="AJ136:AK136" si="334">SUM(AB136,AD136,AF136)</f>
        <v>21</v>
      </c>
      <c r="AK136" s="25">
        <f t="shared" si="334"/>
        <v>10</v>
      </c>
      <c r="AL136" s="25">
        <v>148.0</v>
      </c>
    </row>
    <row r="137">
      <c r="A137" s="13" t="s">
        <v>19</v>
      </c>
      <c r="B137" s="81" t="s">
        <v>50</v>
      </c>
      <c r="C137" s="13">
        <v>9.0</v>
      </c>
      <c r="D137" s="13">
        <v>4.0</v>
      </c>
      <c r="E137" s="13">
        <v>7.0</v>
      </c>
      <c r="F137" s="13">
        <f t="shared" si="335"/>
        <v>11</v>
      </c>
      <c r="G137" s="42">
        <f t="shared" ref="G137:G144" si="340">PRODUCT(D137, (1/F137))</f>
        <v>0.3636363636</v>
      </c>
      <c r="H137" s="13">
        <v>3.0</v>
      </c>
      <c r="I137" s="13">
        <v>7.0</v>
      </c>
      <c r="J137" s="13">
        <v>0.0</v>
      </c>
      <c r="K137" s="13">
        <v>0.0</v>
      </c>
      <c r="L137" s="13">
        <v>0.0</v>
      </c>
      <c r="M137" s="13">
        <v>0.0</v>
      </c>
      <c r="N137" s="13">
        <v>1.0</v>
      </c>
      <c r="O137" s="13">
        <v>12.0</v>
      </c>
      <c r="P137" s="13">
        <v>2.0</v>
      </c>
      <c r="Q137" s="13">
        <v>1.0</v>
      </c>
      <c r="R137" s="13">
        <v>2.0</v>
      </c>
      <c r="S137" s="13">
        <v>1.0</v>
      </c>
      <c r="T137" s="13">
        <v>0.0</v>
      </c>
      <c r="U137" s="13">
        <v>1.0</v>
      </c>
      <c r="V137" s="13">
        <v>0.0</v>
      </c>
      <c r="W137" s="13">
        <v>1.0</v>
      </c>
      <c r="X137" s="13">
        <v>1.0</v>
      </c>
      <c r="Y137" s="13">
        <v>1.0</v>
      </c>
      <c r="Z137" s="13"/>
      <c r="AA137" s="13"/>
      <c r="AB137" s="13">
        <f t="shared" ref="AB137:AC137" si="336">PRODUCT(T137,2)</f>
        <v>0</v>
      </c>
      <c r="AC137" s="13">
        <f t="shared" si="336"/>
        <v>2</v>
      </c>
      <c r="AD137" s="13">
        <f t="shared" ref="AD137:AE137" si="337">PRODUCT(V137,3)</f>
        <v>0</v>
      </c>
      <c r="AE137" s="13">
        <f t="shared" si="337"/>
        <v>3</v>
      </c>
      <c r="AF137" s="13">
        <f t="shared" ref="AF137:AG137" si="338">PRODUCT(X137,4)</f>
        <v>4</v>
      </c>
      <c r="AG137" s="13">
        <f t="shared" si="338"/>
        <v>4</v>
      </c>
      <c r="AH137" s="13"/>
      <c r="AI137" s="13"/>
      <c r="AJ137" s="13">
        <f t="shared" ref="AJ137:AK137" si="339">SUM(AB137,AD137,AF137)</f>
        <v>4</v>
      </c>
      <c r="AK137" s="13">
        <f t="shared" si="339"/>
        <v>9</v>
      </c>
      <c r="AL137" s="13">
        <v>26.0</v>
      </c>
    </row>
    <row r="138">
      <c r="A138" s="109" t="s">
        <v>19</v>
      </c>
      <c r="B138" s="109" t="s">
        <v>37</v>
      </c>
      <c r="C138" s="109">
        <v>10.0</v>
      </c>
      <c r="D138" s="109">
        <v>10.0</v>
      </c>
      <c r="E138" s="109">
        <v>5.0</v>
      </c>
      <c r="F138" s="110">
        <f t="shared" si="335"/>
        <v>15</v>
      </c>
      <c r="G138" s="110">
        <f t="shared" si="340"/>
        <v>0.6666666667</v>
      </c>
      <c r="H138" s="109">
        <v>7.0</v>
      </c>
      <c r="I138" s="109">
        <v>5.0</v>
      </c>
      <c r="J138" s="109">
        <v>0.0</v>
      </c>
      <c r="K138" s="109">
        <v>0.0</v>
      </c>
      <c r="L138" s="109">
        <v>0.0</v>
      </c>
      <c r="M138" s="109">
        <v>0.0</v>
      </c>
      <c r="N138" s="109">
        <v>8.0</v>
      </c>
      <c r="O138" s="109">
        <v>6.0</v>
      </c>
      <c r="P138" s="109">
        <v>1.0</v>
      </c>
      <c r="Q138" s="109">
        <v>1.0</v>
      </c>
      <c r="R138" s="109">
        <v>1.0</v>
      </c>
      <c r="S138" s="109">
        <v>1.0</v>
      </c>
      <c r="T138" s="109">
        <v>1.0</v>
      </c>
      <c r="U138" s="109">
        <v>0.0</v>
      </c>
      <c r="V138" s="109">
        <v>0.0</v>
      </c>
      <c r="W138" s="109">
        <v>1.0</v>
      </c>
      <c r="X138" s="109">
        <v>1.0</v>
      </c>
      <c r="Y138" s="109">
        <v>1.0</v>
      </c>
      <c r="Z138" s="111"/>
      <c r="AA138" s="111"/>
      <c r="AB138" s="111">
        <v>0.0</v>
      </c>
      <c r="AC138" s="111">
        <v>0.0</v>
      </c>
      <c r="AD138" s="112">
        <f t="shared" ref="AD138:AE138" si="341">PRODUCT(T138,2)</f>
        <v>2</v>
      </c>
      <c r="AE138" s="112">
        <f t="shared" si="341"/>
        <v>0</v>
      </c>
      <c r="AF138" s="112">
        <f t="shared" ref="AF138:AG138" si="342">PRODUCT(V138,3)</f>
        <v>0</v>
      </c>
      <c r="AG138" s="112">
        <f t="shared" si="342"/>
        <v>3</v>
      </c>
      <c r="AH138" s="112">
        <f t="shared" ref="AH138:AI138" si="343">PRODUCT(X138,4)</f>
        <v>4</v>
      </c>
      <c r="AI138" s="112">
        <f t="shared" si="343"/>
        <v>4</v>
      </c>
      <c r="AJ138" s="113">
        <f>PRODUCT(5,AB138)</f>
        <v>0</v>
      </c>
      <c r="AK138" s="113">
        <f>PRODUCT(AC138,5)</f>
        <v>0</v>
      </c>
      <c r="AL138" s="113">
        <v>42.0</v>
      </c>
    </row>
    <row r="139">
      <c r="A139" s="13" t="s">
        <v>147</v>
      </c>
      <c r="B139" s="81" t="s">
        <v>50</v>
      </c>
      <c r="C139" s="13">
        <v>9.0</v>
      </c>
      <c r="D139" s="13">
        <v>4.0</v>
      </c>
      <c r="E139" s="13">
        <v>17.0</v>
      </c>
      <c r="F139" s="13">
        <f t="shared" si="335"/>
        <v>21</v>
      </c>
      <c r="G139" s="42">
        <f t="shared" si="340"/>
        <v>0.1904761905</v>
      </c>
      <c r="H139" s="13">
        <v>2.0</v>
      </c>
      <c r="I139" s="13">
        <v>14.0</v>
      </c>
      <c r="J139" s="13">
        <v>0.0</v>
      </c>
      <c r="K139" s="13">
        <v>0.0</v>
      </c>
      <c r="L139" s="13">
        <v>0.0</v>
      </c>
      <c r="M139" s="13">
        <v>2.0</v>
      </c>
      <c r="N139" s="13">
        <v>3.0</v>
      </c>
      <c r="O139" s="13">
        <v>30.0</v>
      </c>
      <c r="P139" s="13">
        <v>9.0</v>
      </c>
      <c r="Q139" s="13">
        <v>10.0</v>
      </c>
      <c r="R139" s="13">
        <v>2.0</v>
      </c>
      <c r="S139" s="13">
        <v>2.0</v>
      </c>
      <c r="T139" s="13">
        <v>0.0</v>
      </c>
      <c r="U139" s="13">
        <v>4.0</v>
      </c>
      <c r="V139" s="13">
        <v>0.0</v>
      </c>
      <c r="W139" s="13">
        <v>1.0</v>
      </c>
      <c r="X139" s="13">
        <v>1.0</v>
      </c>
      <c r="Y139" s="13">
        <v>4.0</v>
      </c>
      <c r="Z139" s="13"/>
      <c r="AA139" s="13"/>
      <c r="AB139" s="13">
        <f t="shared" ref="AB139:AC139" si="344">PRODUCT(T139,2)</f>
        <v>0</v>
      </c>
      <c r="AC139" s="13">
        <f t="shared" si="344"/>
        <v>8</v>
      </c>
      <c r="AD139" s="13">
        <f t="shared" ref="AD139:AE139" si="345">PRODUCT(V139,3)</f>
        <v>0</v>
      </c>
      <c r="AE139" s="13">
        <f t="shared" si="345"/>
        <v>3</v>
      </c>
      <c r="AF139" s="13">
        <f t="shared" ref="AF139:AG139" si="346">PRODUCT(X139,4)</f>
        <v>4</v>
      </c>
      <c r="AG139" s="13">
        <f t="shared" si="346"/>
        <v>16</v>
      </c>
      <c r="AH139" s="13"/>
      <c r="AI139" s="13"/>
      <c r="AJ139" s="13">
        <f t="shared" ref="AJ139:AK139" si="347">SUM(AB139,AD139,AF139)</f>
        <v>4</v>
      </c>
      <c r="AK139" s="13">
        <f t="shared" si="347"/>
        <v>27</v>
      </c>
      <c r="AL139" s="13">
        <v>11.0</v>
      </c>
    </row>
    <row r="140">
      <c r="A140" s="109" t="s">
        <v>136</v>
      </c>
      <c r="B140" s="109" t="s">
        <v>37</v>
      </c>
      <c r="C140" s="109">
        <v>9.0</v>
      </c>
      <c r="D140" s="109">
        <v>2.0</v>
      </c>
      <c r="E140" s="109">
        <v>16.0</v>
      </c>
      <c r="F140" s="110">
        <f t="shared" si="335"/>
        <v>18</v>
      </c>
      <c r="G140" s="110">
        <f t="shared" si="340"/>
        <v>0.1111111111</v>
      </c>
      <c r="H140" s="109">
        <v>2.0</v>
      </c>
      <c r="I140" s="109">
        <v>16.0</v>
      </c>
      <c r="J140" s="109">
        <v>0.0</v>
      </c>
      <c r="K140" s="109">
        <v>0.0</v>
      </c>
      <c r="L140" s="109">
        <v>0.0</v>
      </c>
      <c r="M140" s="109">
        <v>0.0</v>
      </c>
      <c r="N140" s="109">
        <v>3.0</v>
      </c>
      <c r="O140" s="109">
        <v>23.0</v>
      </c>
      <c r="P140" s="109">
        <v>5.0</v>
      </c>
      <c r="Q140" s="109">
        <v>3.0</v>
      </c>
      <c r="R140" s="109">
        <v>2.0</v>
      </c>
      <c r="S140" s="109">
        <v>4.0</v>
      </c>
      <c r="T140" s="109">
        <v>0.0</v>
      </c>
      <c r="U140" s="109">
        <v>2.0</v>
      </c>
      <c r="V140" s="109">
        <v>0.0</v>
      </c>
      <c r="W140" s="109">
        <v>3.0</v>
      </c>
      <c r="X140" s="109">
        <v>0.0</v>
      </c>
      <c r="Y140" s="109">
        <v>5.0</v>
      </c>
      <c r="Z140" s="111"/>
      <c r="AA140" s="111"/>
      <c r="AB140" s="111">
        <v>0.0</v>
      </c>
      <c r="AC140" s="111">
        <v>0.0</v>
      </c>
      <c r="AD140" s="112">
        <f t="shared" ref="AD140:AE140" si="348">PRODUCT(T140,2)</f>
        <v>0</v>
      </c>
      <c r="AE140" s="112">
        <f t="shared" si="348"/>
        <v>4</v>
      </c>
      <c r="AF140" s="112">
        <f t="shared" ref="AF140:AG140" si="349">PRODUCT(V140,3)</f>
        <v>0</v>
      </c>
      <c r="AG140" s="112">
        <f t="shared" si="349"/>
        <v>9</v>
      </c>
      <c r="AH140" s="112">
        <f t="shared" ref="AH140:AI140" si="350">PRODUCT(X140,4)</f>
        <v>0</v>
      </c>
      <c r="AI140" s="112">
        <f t="shared" si="350"/>
        <v>20</v>
      </c>
      <c r="AJ140" s="113">
        <f>PRODUCT(5,AB140)</f>
        <v>0</v>
      </c>
      <c r="AK140" s="113">
        <f>PRODUCT(AC140,5)</f>
        <v>0</v>
      </c>
      <c r="AL140" s="113">
        <v>12.0</v>
      </c>
    </row>
    <row r="141">
      <c r="A141" s="13" t="s">
        <v>29</v>
      </c>
      <c r="B141" s="81" t="s">
        <v>59</v>
      </c>
      <c r="C141" s="13">
        <v>10.0</v>
      </c>
      <c r="D141" s="13">
        <v>19.0</v>
      </c>
      <c r="E141" s="13">
        <v>14.0</v>
      </c>
      <c r="F141" s="13">
        <f t="shared" si="335"/>
        <v>33</v>
      </c>
      <c r="G141" s="42">
        <f t="shared" si="340"/>
        <v>0.5757575758</v>
      </c>
      <c r="H141" s="13">
        <v>8.0</v>
      </c>
      <c r="I141" s="13">
        <v>10.0</v>
      </c>
      <c r="J141" s="13">
        <v>0.0</v>
      </c>
      <c r="K141" s="13">
        <v>0.0</v>
      </c>
      <c r="L141" s="13">
        <v>0.0</v>
      </c>
      <c r="M141" s="13">
        <v>2.0</v>
      </c>
      <c r="N141" s="13">
        <v>27.0</v>
      </c>
      <c r="O141" s="13">
        <v>29.0</v>
      </c>
      <c r="P141" s="13">
        <v>12.0</v>
      </c>
      <c r="Q141" s="13">
        <v>13.0</v>
      </c>
      <c r="R141" s="13">
        <v>8.0</v>
      </c>
      <c r="S141" s="13">
        <v>8.0</v>
      </c>
      <c r="T141" s="13">
        <v>2.0</v>
      </c>
      <c r="U141" s="13">
        <v>2.0</v>
      </c>
      <c r="V141" s="13">
        <v>7.0</v>
      </c>
      <c r="W141" s="13">
        <v>3.0</v>
      </c>
      <c r="X141" s="81">
        <v>0.0</v>
      </c>
      <c r="Y141" s="81">
        <v>0.0</v>
      </c>
      <c r="Z141" s="13"/>
      <c r="AA141" s="13"/>
      <c r="AB141" s="13">
        <f t="shared" ref="AB141:AC141" si="351">PRODUCT(T141,2)</f>
        <v>4</v>
      </c>
      <c r="AC141" s="13">
        <f t="shared" si="351"/>
        <v>4</v>
      </c>
      <c r="AD141" s="13">
        <f t="shared" ref="AD141:AE141" si="352">PRODUCT(V141,3)</f>
        <v>21</v>
      </c>
      <c r="AE141" s="13">
        <f t="shared" si="352"/>
        <v>9</v>
      </c>
      <c r="AF141" s="13">
        <f t="shared" ref="AF141:AG141" si="353">PRODUCT(X141,4)</f>
        <v>0</v>
      </c>
      <c r="AG141" s="13">
        <f t="shared" si="353"/>
        <v>0</v>
      </c>
      <c r="AH141" s="13"/>
      <c r="AI141" s="13"/>
      <c r="AJ141" s="13">
        <f t="shared" ref="AJ141:AK141" si="354">SUM(AB141,AD141,AF141)</f>
        <v>25</v>
      </c>
      <c r="AK141" s="13">
        <f t="shared" si="354"/>
        <v>13</v>
      </c>
      <c r="AL141" s="13">
        <v>86.0</v>
      </c>
    </row>
    <row r="142">
      <c r="A142" s="25" t="s">
        <v>29</v>
      </c>
      <c r="B142" s="75" t="s">
        <v>50</v>
      </c>
      <c r="C142" s="25">
        <v>11.0</v>
      </c>
      <c r="D142" s="25">
        <v>23.0</v>
      </c>
      <c r="E142" s="25">
        <v>17.0</v>
      </c>
      <c r="F142" s="25">
        <f t="shared" si="335"/>
        <v>40</v>
      </c>
      <c r="G142" s="43">
        <f t="shared" si="340"/>
        <v>0.575</v>
      </c>
      <c r="H142" s="25">
        <v>13.0</v>
      </c>
      <c r="I142" s="25">
        <v>11.0</v>
      </c>
      <c r="J142" s="25">
        <v>0.0</v>
      </c>
      <c r="K142" s="25">
        <v>2.0</v>
      </c>
      <c r="L142" s="25">
        <v>0.0</v>
      </c>
      <c r="M142" s="25">
        <v>1.0</v>
      </c>
      <c r="N142" s="25">
        <v>26.0</v>
      </c>
      <c r="O142" s="25">
        <v>50.0</v>
      </c>
      <c r="P142" s="25">
        <v>19.0</v>
      </c>
      <c r="Q142" s="25">
        <v>16.0</v>
      </c>
      <c r="R142" s="25">
        <v>10.0</v>
      </c>
      <c r="S142" s="25">
        <v>10.0</v>
      </c>
      <c r="T142" s="25">
        <v>4.0</v>
      </c>
      <c r="U142" s="25">
        <v>2.0</v>
      </c>
      <c r="V142" s="25">
        <v>2.0</v>
      </c>
      <c r="W142" s="25">
        <v>4.0</v>
      </c>
      <c r="X142" s="25">
        <v>9.0</v>
      </c>
      <c r="Y142" s="25">
        <v>4.0</v>
      </c>
      <c r="Z142" s="25"/>
      <c r="AA142" s="25"/>
      <c r="AB142" s="25">
        <f t="shared" ref="AB142:AC142" si="355">PRODUCT(T142,2)</f>
        <v>8</v>
      </c>
      <c r="AC142" s="25">
        <f t="shared" si="355"/>
        <v>4</v>
      </c>
      <c r="AD142" s="25">
        <f t="shared" ref="AD142:AE142" si="356">PRODUCT(V142,3)</f>
        <v>6</v>
      </c>
      <c r="AE142" s="25">
        <f t="shared" si="356"/>
        <v>12</v>
      </c>
      <c r="AF142" s="25">
        <f t="shared" ref="AF142:AG142" si="357">PRODUCT(X142,4)</f>
        <v>36</v>
      </c>
      <c r="AG142" s="25">
        <f t="shared" si="357"/>
        <v>16</v>
      </c>
      <c r="AH142" s="25"/>
      <c r="AI142" s="25"/>
      <c r="AJ142" s="25">
        <f t="shared" ref="AJ142:AK142" si="358">SUM(AB142,AD142,AF142)</f>
        <v>50</v>
      </c>
      <c r="AK142" s="25">
        <f t="shared" si="358"/>
        <v>32</v>
      </c>
      <c r="AL142" s="25">
        <v>91.0</v>
      </c>
    </row>
    <row r="143">
      <c r="A143" s="104" t="s">
        <v>29</v>
      </c>
      <c r="B143" s="104" t="s">
        <v>37</v>
      </c>
      <c r="C143" s="104">
        <v>12.0</v>
      </c>
      <c r="D143" s="104">
        <v>40.0</v>
      </c>
      <c r="E143" s="104">
        <v>15.0</v>
      </c>
      <c r="F143" s="84">
        <f t="shared" si="335"/>
        <v>55</v>
      </c>
      <c r="G143" s="84">
        <f t="shared" si="340"/>
        <v>0.7272727273</v>
      </c>
      <c r="H143" s="104">
        <v>25.0</v>
      </c>
      <c r="I143" s="104">
        <v>7.0</v>
      </c>
      <c r="J143" s="104">
        <v>1.0</v>
      </c>
      <c r="K143" s="104">
        <v>0.0</v>
      </c>
      <c r="L143" s="104">
        <v>4.0</v>
      </c>
      <c r="M143" s="104">
        <v>2.0</v>
      </c>
      <c r="N143" s="104">
        <v>69.0</v>
      </c>
      <c r="O143" s="104">
        <v>26.0</v>
      </c>
      <c r="P143" s="104">
        <v>15.0</v>
      </c>
      <c r="Q143" s="104">
        <v>16.0</v>
      </c>
      <c r="R143" s="104">
        <v>8.0</v>
      </c>
      <c r="S143" s="104">
        <v>16.0</v>
      </c>
      <c r="T143" s="104">
        <v>1.0</v>
      </c>
      <c r="U143" s="104">
        <v>6.0</v>
      </c>
      <c r="V143" s="104">
        <v>6.0</v>
      </c>
      <c r="W143" s="104">
        <v>0.0</v>
      </c>
      <c r="X143" s="104">
        <v>9.0</v>
      </c>
      <c r="Y143" s="104">
        <v>2.0</v>
      </c>
      <c r="Z143" s="105"/>
      <c r="AA143" s="105"/>
      <c r="AB143" s="105">
        <v>0.0</v>
      </c>
      <c r="AC143" s="105">
        <v>0.0</v>
      </c>
      <c r="AD143" s="106">
        <f t="shared" ref="AD143:AE143" si="359">PRODUCT(T143,2)</f>
        <v>2</v>
      </c>
      <c r="AE143" s="106">
        <f t="shared" si="359"/>
        <v>12</v>
      </c>
      <c r="AF143" s="106">
        <f t="shared" ref="AF143:AG143" si="360">PRODUCT(V143,3)</f>
        <v>18</v>
      </c>
      <c r="AG143" s="106">
        <f t="shared" si="360"/>
        <v>0</v>
      </c>
      <c r="AH143" s="106">
        <f t="shared" ref="AH143:AI143" si="361">PRODUCT(X143,4)</f>
        <v>36</v>
      </c>
      <c r="AI143" s="106">
        <f t="shared" si="361"/>
        <v>8</v>
      </c>
      <c r="AJ143" s="107">
        <f t="shared" ref="AJ143:AJ144" si="365">PRODUCT(5,AB143)</f>
        <v>0</v>
      </c>
      <c r="AK143" s="107">
        <f t="shared" ref="AK143:AK144" si="366">PRODUCT(AC143,5)</f>
        <v>0</v>
      </c>
      <c r="AL143" s="107">
        <v>183.0</v>
      </c>
    </row>
    <row r="144">
      <c r="A144" s="109" t="s">
        <v>137</v>
      </c>
      <c r="B144" s="109" t="s">
        <v>37</v>
      </c>
      <c r="C144" s="109">
        <v>9.0</v>
      </c>
      <c r="D144" s="109">
        <v>4.0</v>
      </c>
      <c r="E144" s="109">
        <v>4.0</v>
      </c>
      <c r="F144" s="110">
        <f t="shared" si="335"/>
        <v>8</v>
      </c>
      <c r="G144" s="110">
        <f t="shared" si="340"/>
        <v>0.5</v>
      </c>
      <c r="H144" s="109">
        <v>3.0</v>
      </c>
      <c r="I144" s="109">
        <v>4.0</v>
      </c>
      <c r="J144" s="109">
        <v>0.0</v>
      </c>
      <c r="K144" s="109">
        <v>0.0</v>
      </c>
      <c r="L144" s="109">
        <v>0.0</v>
      </c>
      <c r="M144" s="109">
        <v>0.0</v>
      </c>
      <c r="N144" s="109">
        <v>7.0</v>
      </c>
      <c r="O144" s="109">
        <v>6.0</v>
      </c>
      <c r="P144" s="109">
        <v>2.0</v>
      </c>
      <c r="Q144" s="109">
        <v>4.0</v>
      </c>
      <c r="R144" s="109">
        <v>0.0</v>
      </c>
      <c r="S144" s="109">
        <v>0.0</v>
      </c>
      <c r="T144" s="109">
        <v>1.0</v>
      </c>
      <c r="U144" s="109">
        <v>1.0</v>
      </c>
      <c r="V144" s="109">
        <v>0.0</v>
      </c>
      <c r="W144" s="109">
        <v>0.0</v>
      </c>
      <c r="X144" s="109">
        <v>0.0</v>
      </c>
      <c r="Y144" s="109">
        <v>2.0</v>
      </c>
      <c r="Z144" s="111"/>
      <c r="AA144" s="111"/>
      <c r="AB144" s="111">
        <v>0.0</v>
      </c>
      <c r="AC144" s="111">
        <v>0.0</v>
      </c>
      <c r="AD144" s="112">
        <f t="shared" ref="AD144:AE144" si="362">PRODUCT(T144,2)</f>
        <v>2</v>
      </c>
      <c r="AE144" s="112">
        <f t="shared" si="362"/>
        <v>2</v>
      </c>
      <c r="AF144" s="112">
        <f t="shared" ref="AF144:AG144" si="363">PRODUCT(V144,3)</f>
        <v>0</v>
      </c>
      <c r="AG144" s="112">
        <f t="shared" si="363"/>
        <v>0</v>
      </c>
      <c r="AH144" s="112">
        <f t="shared" ref="AH144:AI144" si="364">PRODUCT(X144,4)</f>
        <v>0</v>
      </c>
      <c r="AI144" s="112">
        <f t="shared" si="364"/>
        <v>8</v>
      </c>
      <c r="AJ144" s="113">
        <f t="shared" si="365"/>
        <v>0</v>
      </c>
      <c r="AK144" s="113">
        <f t="shared" si="366"/>
        <v>0</v>
      </c>
      <c r="AL144" s="113">
        <v>18.0</v>
      </c>
    </row>
    <row r="145">
      <c r="A145" s="13" t="s">
        <v>138</v>
      </c>
      <c r="B145" s="13" t="s">
        <v>58</v>
      </c>
      <c r="C145" s="13">
        <v>10.0</v>
      </c>
      <c r="D145" s="13">
        <v>3.0</v>
      </c>
      <c r="E145" s="13">
        <v>4.0</v>
      </c>
      <c r="F145" s="13">
        <f t="shared" si="335"/>
        <v>7</v>
      </c>
      <c r="G145" s="90">
        <f>PRODUCT(D145,(1/F145))</f>
        <v>0.4285714286</v>
      </c>
      <c r="H145" s="13">
        <v>1.0</v>
      </c>
      <c r="I145" s="13">
        <v>4.0</v>
      </c>
      <c r="J145" s="13">
        <v>0.0</v>
      </c>
      <c r="K145" s="13">
        <v>0.0</v>
      </c>
      <c r="L145" s="13">
        <v>0.0</v>
      </c>
      <c r="M145" s="13">
        <v>0.0</v>
      </c>
      <c r="N145" s="13">
        <v>4.0</v>
      </c>
      <c r="O145" s="13">
        <v>4.0</v>
      </c>
      <c r="P145" s="13">
        <v>2.0</v>
      </c>
      <c r="Q145" s="13">
        <v>1.0</v>
      </c>
      <c r="R145" s="13">
        <v>0.0</v>
      </c>
      <c r="S145" s="13">
        <v>2.0</v>
      </c>
      <c r="T145" s="13">
        <v>0.0</v>
      </c>
      <c r="U145" s="13">
        <v>1.0</v>
      </c>
      <c r="V145" s="13">
        <v>0.0</v>
      </c>
      <c r="W145" s="13">
        <v>4.0</v>
      </c>
      <c r="X145" s="81">
        <v>0.0</v>
      </c>
      <c r="Y145" s="81">
        <v>0.0</v>
      </c>
      <c r="Z145" s="13"/>
      <c r="AA145" s="13"/>
      <c r="AB145" s="13">
        <f t="shared" ref="AB145:AC145" si="367">PRODUCT(T145,2)</f>
        <v>0</v>
      </c>
      <c r="AC145" s="13">
        <f t="shared" si="367"/>
        <v>2</v>
      </c>
      <c r="AD145" s="13">
        <f t="shared" ref="AD145:AE145" si="368">PRODUCT(V145,3)</f>
        <v>0</v>
      </c>
      <c r="AE145" s="13">
        <f t="shared" si="368"/>
        <v>12</v>
      </c>
      <c r="AF145" s="13">
        <f t="shared" ref="AF145:AG145" si="369">PRODUCT(X145,4)</f>
        <v>0</v>
      </c>
      <c r="AG145" s="13">
        <f t="shared" si="369"/>
        <v>0</v>
      </c>
      <c r="AH145" s="13"/>
      <c r="AI145" s="13"/>
      <c r="AJ145" s="13">
        <f t="shared" ref="AJ145:AK145" si="370">SUM(AB145,AD145,AF145)</f>
        <v>0</v>
      </c>
      <c r="AK145" s="13">
        <f t="shared" si="370"/>
        <v>14</v>
      </c>
      <c r="AL145" s="13">
        <v>10.0</v>
      </c>
    </row>
    <row r="146">
      <c r="A146" s="25" t="s">
        <v>13</v>
      </c>
      <c r="B146" s="75" t="s">
        <v>50</v>
      </c>
      <c r="C146" s="25">
        <v>9.0</v>
      </c>
      <c r="D146" s="25">
        <v>11.0</v>
      </c>
      <c r="E146" s="25">
        <v>19.0</v>
      </c>
      <c r="F146" s="25">
        <f t="shared" si="335"/>
        <v>30</v>
      </c>
      <c r="G146" s="43">
        <f t="shared" ref="G146:G150" si="375">PRODUCT(D146, (1/F146))</f>
        <v>0.3666666667</v>
      </c>
      <c r="H146" s="25">
        <v>6.0</v>
      </c>
      <c r="I146" s="25">
        <v>19.0</v>
      </c>
      <c r="J146" s="25">
        <v>0.0</v>
      </c>
      <c r="K146" s="25">
        <v>0.0</v>
      </c>
      <c r="L146" s="25">
        <v>0.0</v>
      </c>
      <c r="M146" s="25">
        <v>0.0</v>
      </c>
      <c r="N146" s="25">
        <v>6.0</v>
      </c>
      <c r="O146" s="25">
        <v>28.0</v>
      </c>
      <c r="P146" s="25">
        <v>3.0</v>
      </c>
      <c r="Q146" s="25">
        <v>5.0</v>
      </c>
      <c r="R146" s="25">
        <v>2.0</v>
      </c>
      <c r="S146" s="25">
        <v>2.0</v>
      </c>
      <c r="T146" s="25">
        <v>0.0</v>
      </c>
      <c r="U146" s="25">
        <v>0.0</v>
      </c>
      <c r="V146" s="25">
        <v>0.0</v>
      </c>
      <c r="W146" s="25">
        <v>0.0</v>
      </c>
      <c r="X146" s="25">
        <v>1.0</v>
      </c>
      <c r="Y146" s="25">
        <v>5.0</v>
      </c>
      <c r="Z146" s="25"/>
      <c r="AA146" s="25"/>
      <c r="AB146" s="25">
        <f t="shared" ref="AB146:AC146" si="371">PRODUCT(T146,2)</f>
        <v>0</v>
      </c>
      <c r="AC146" s="25">
        <f t="shared" si="371"/>
        <v>0</v>
      </c>
      <c r="AD146" s="25">
        <f t="shared" ref="AD146:AE146" si="372">PRODUCT(V146,3)</f>
        <v>0</v>
      </c>
      <c r="AE146" s="25">
        <f t="shared" si="372"/>
        <v>0</v>
      </c>
      <c r="AF146" s="25">
        <f t="shared" ref="AF146:AG146" si="373">PRODUCT(X146,4)</f>
        <v>4</v>
      </c>
      <c r="AG146" s="25">
        <f t="shared" si="373"/>
        <v>20</v>
      </c>
      <c r="AH146" s="25"/>
      <c r="AI146" s="25"/>
      <c r="AJ146" s="25">
        <f t="shared" ref="AJ146:AK146" si="374">SUM(AB146,AD146,AF146)</f>
        <v>4</v>
      </c>
      <c r="AK146" s="25">
        <f t="shared" si="374"/>
        <v>20</v>
      </c>
      <c r="AL146" s="25">
        <v>45.0</v>
      </c>
    </row>
    <row r="147">
      <c r="A147" s="104" t="s">
        <v>13</v>
      </c>
      <c r="B147" s="104" t="s">
        <v>37</v>
      </c>
      <c r="C147" s="104">
        <v>10.0</v>
      </c>
      <c r="D147" s="104">
        <v>29.0</v>
      </c>
      <c r="E147" s="104">
        <v>14.0</v>
      </c>
      <c r="F147" s="84">
        <f t="shared" si="335"/>
        <v>43</v>
      </c>
      <c r="G147" s="84">
        <f t="shared" si="375"/>
        <v>0.6744186047</v>
      </c>
      <c r="H147" s="104">
        <v>19.0</v>
      </c>
      <c r="I147" s="104">
        <v>11.0</v>
      </c>
      <c r="J147" s="104">
        <v>0.0</v>
      </c>
      <c r="K147" s="104">
        <v>1.0</v>
      </c>
      <c r="L147" s="104">
        <v>1.0</v>
      </c>
      <c r="M147" s="104">
        <v>1.0</v>
      </c>
      <c r="N147" s="104">
        <v>24.0</v>
      </c>
      <c r="O147" s="104">
        <v>19.0</v>
      </c>
      <c r="P147" s="104">
        <v>5.0</v>
      </c>
      <c r="Q147" s="104">
        <v>1.0</v>
      </c>
      <c r="R147" s="104">
        <v>4.0</v>
      </c>
      <c r="S147" s="104">
        <v>6.0</v>
      </c>
      <c r="T147" s="104">
        <v>5.0</v>
      </c>
      <c r="U147" s="104">
        <v>0.0</v>
      </c>
      <c r="V147" s="104">
        <v>2.0</v>
      </c>
      <c r="W147" s="104">
        <v>1.0</v>
      </c>
      <c r="X147" s="104">
        <v>10.0</v>
      </c>
      <c r="Y147" s="104">
        <v>5.0</v>
      </c>
      <c r="Z147" s="105"/>
      <c r="AA147" s="105"/>
      <c r="AB147" s="105">
        <v>0.0</v>
      </c>
      <c r="AC147" s="105">
        <v>0.0</v>
      </c>
      <c r="AD147" s="106">
        <f t="shared" ref="AD147:AE147" si="376">PRODUCT(T147,2)</f>
        <v>10</v>
      </c>
      <c r="AE147" s="106">
        <f t="shared" si="376"/>
        <v>0</v>
      </c>
      <c r="AF147" s="106">
        <f t="shared" ref="AF147:AG147" si="377">PRODUCT(V147,3)</f>
        <v>6</v>
      </c>
      <c r="AG147" s="106">
        <f t="shared" si="377"/>
        <v>3</v>
      </c>
      <c r="AH147" s="106">
        <f t="shared" ref="AH147:AI147" si="378">PRODUCT(X147,4)</f>
        <v>40</v>
      </c>
      <c r="AI147" s="106">
        <f t="shared" si="378"/>
        <v>20</v>
      </c>
      <c r="AJ147" s="107">
        <f>PRODUCT(5,AB147)</f>
        <v>0</v>
      </c>
      <c r="AK147" s="107">
        <f>PRODUCT(AC147,5)</f>
        <v>0</v>
      </c>
      <c r="AL147" s="107">
        <v>118.0</v>
      </c>
    </row>
    <row r="148">
      <c r="A148" s="25" t="s">
        <v>17</v>
      </c>
      <c r="B148" s="75" t="s">
        <v>59</v>
      </c>
      <c r="C148" s="25">
        <v>10.0</v>
      </c>
      <c r="D148" s="25">
        <v>25.0</v>
      </c>
      <c r="E148" s="25">
        <v>15.0</v>
      </c>
      <c r="F148" s="25">
        <f t="shared" si="335"/>
        <v>40</v>
      </c>
      <c r="G148" s="43">
        <f t="shared" si="375"/>
        <v>0.625</v>
      </c>
      <c r="H148" s="25">
        <v>12.0</v>
      </c>
      <c r="I148" s="25">
        <v>14.0</v>
      </c>
      <c r="J148" s="25">
        <v>0.0</v>
      </c>
      <c r="K148" s="25">
        <v>0.0</v>
      </c>
      <c r="L148" s="25">
        <v>0.0</v>
      </c>
      <c r="M148" s="25">
        <v>0.0</v>
      </c>
      <c r="N148" s="25">
        <v>24.0</v>
      </c>
      <c r="O148" s="25">
        <v>21.0</v>
      </c>
      <c r="P148" s="25">
        <v>6.0</v>
      </c>
      <c r="Q148" s="25">
        <v>10.0</v>
      </c>
      <c r="R148" s="25">
        <v>2.0</v>
      </c>
      <c r="S148" s="25">
        <v>4.0</v>
      </c>
      <c r="T148" s="25">
        <v>2.0</v>
      </c>
      <c r="U148" s="25">
        <v>1.0</v>
      </c>
      <c r="V148" s="25">
        <v>2.0</v>
      </c>
      <c r="W148" s="25">
        <v>1.0</v>
      </c>
      <c r="X148" s="75">
        <v>0.0</v>
      </c>
      <c r="Y148" s="75">
        <v>0.0</v>
      </c>
      <c r="Z148" s="25"/>
      <c r="AA148" s="25"/>
      <c r="AB148" s="25">
        <f t="shared" ref="AB148:AC148" si="379">PRODUCT(T148,2)</f>
        <v>4</v>
      </c>
      <c r="AC148" s="25">
        <f t="shared" si="379"/>
        <v>2</v>
      </c>
      <c r="AD148" s="25">
        <f t="shared" ref="AD148:AE148" si="380">PRODUCT(V148,3)</f>
        <v>6</v>
      </c>
      <c r="AE148" s="25">
        <f t="shared" si="380"/>
        <v>3</v>
      </c>
      <c r="AF148" s="25">
        <f t="shared" ref="AF148:AG148" si="381">PRODUCT(X148,4)</f>
        <v>0</v>
      </c>
      <c r="AG148" s="25">
        <f t="shared" si="381"/>
        <v>0</v>
      </c>
      <c r="AH148" s="25"/>
      <c r="AI148" s="25"/>
      <c r="AJ148" s="25">
        <f t="shared" ref="AJ148:AK148" si="382">SUM(AB148,AD148,AF148)</f>
        <v>10</v>
      </c>
      <c r="AK148" s="25">
        <f t="shared" si="382"/>
        <v>5</v>
      </c>
      <c r="AL148" s="25">
        <v>124.0</v>
      </c>
    </row>
    <row r="149">
      <c r="A149" s="13" t="s">
        <v>17</v>
      </c>
      <c r="B149" s="81" t="s">
        <v>50</v>
      </c>
      <c r="C149" s="13">
        <v>11.0</v>
      </c>
      <c r="D149" s="13">
        <v>24.0</v>
      </c>
      <c r="E149" s="13">
        <v>8.0</v>
      </c>
      <c r="F149" s="13">
        <f t="shared" si="335"/>
        <v>32</v>
      </c>
      <c r="G149" s="42">
        <f t="shared" si="375"/>
        <v>0.75</v>
      </c>
      <c r="H149" s="13">
        <v>16.0</v>
      </c>
      <c r="I149" s="13">
        <v>6.0</v>
      </c>
      <c r="J149" s="13">
        <v>0.0</v>
      </c>
      <c r="K149" s="13">
        <v>0.0</v>
      </c>
      <c r="L149" s="13">
        <v>0.0</v>
      </c>
      <c r="M149" s="13">
        <v>0.0</v>
      </c>
      <c r="N149" s="13">
        <v>19.0</v>
      </c>
      <c r="O149" s="13">
        <v>9.0</v>
      </c>
      <c r="P149" s="13">
        <v>4.0</v>
      </c>
      <c r="Q149" s="13">
        <v>7.0</v>
      </c>
      <c r="R149" s="13">
        <v>1.0</v>
      </c>
      <c r="S149" s="13">
        <v>2.0</v>
      </c>
      <c r="T149" s="13">
        <v>0.0</v>
      </c>
      <c r="U149" s="13">
        <v>0.0</v>
      </c>
      <c r="V149" s="13">
        <v>0.0</v>
      </c>
      <c r="W149" s="13">
        <v>0.0</v>
      </c>
      <c r="X149" s="13">
        <v>3.0</v>
      </c>
      <c r="Y149" s="13">
        <v>1.0</v>
      </c>
      <c r="Z149" s="13"/>
      <c r="AA149" s="13"/>
      <c r="AB149" s="13">
        <f t="shared" ref="AB149:AC149" si="383">PRODUCT(T149,2)</f>
        <v>0</v>
      </c>
      <c r="AC149" s="13">
        <f t="shared" si="383"/>
        <v>0</v>
      </c>
      <c r="AD149" s="13">
        <f t="shared" ref="AD149:AE149" si="384">PRODUCT(V149,3)</f>
        <v>0</v>
      </c>
      <c r="AE149" s="13">
        <f t="shared" si="384"/>
        <v>0</v>
      </c>
      <c r="AF149" s="13">
        <f t="shared" ref="AF149:AG149" si="385">PRODUCT(X149,4)</f>
        <v>12</v>
      </c>
      <c r="AG149" s="13">
        <f t="shared" si="385"/>
        <v>4</v>
      </c>
      <c r="AH149" s="13"/>
      <c r="AI149" s="13"/>
      <c r="AJ149" s="13">
        <f t="shared" ref="AJ149:AK149" si="386">SUM(AB149,AD149,AF149)</f>
        <v>12</v>
      </c>
      <c r="AK149" s="13">
        <f t="shared" si="386"/>
        <v>4</v>
      </c>
      <c r="AL149" s="13">
        <v>117.0</v>
      </c>
    </row>
    <row r="150">
      <c r="A150" s="109" t="s">
        <v>17</v>
      </c>
      <c r="B150" s="109" t="s">
        <v>37</v>
      </c>
      <c r="C150" s="109">
        <v>12.0</v>
      </c>
      <c r="D150" s="109">
        <v>25.0</v>
      </c>
      <c r="E150" s="109">
        <v>7.0</v>
      </c>
      <c r="F150" s="110">
        <f t="shared" si="335"/>
        <v>32</v>
      </c>
      <c r="G150" s="110">
        <f t="shared" si="375"/>
        <v>0.78125</v>
      </c>
      <c r="H150" s="109">
        <v>19.0</v>
      </c>
      <c r="I150" s="109">
        <v>5.0</v>
      </c>
      <c r="J150" s="109">
        <v>0.0</v>
      </c>
      <c r="K150" s="109">
        <v>0.0</v>
      </c>
      <c r="L150" s="109">
        <v>0.0</v>
      </c>
      <c r="M150" s="109">
        <v>0.0</v>
      </c>
      <c r="N150" s="109">
        <v>34.0</v>
      </c>
      <c r="O150" s="109">
        <v>7.0</v>
      </c>
      <c r="P150" s="109">
        <v>4.0</v>
      </c>
      <c r="Q150" s="109">
        <v>12.0</v>
      </c>
      <c r="R150" s="109">
        <v>2.0</v>
      </c>
      <c r="S150" s="109">
        <v>1.0</v>
      </c>
      <c r="T150" s="109">
        <v>0.0</v>
      </c>
      <c r="U150" s="109">
        <v>0.0</v>
      </c>
      <c r="V150" s="109">
        <v>0.0</v>
      </c>
      <c r="W150" s="109">
        <v>0.0</v>
      </c>
      <c r="X150" s="109">
        <v>2.0</v>
      </c>
      <c r="Y150" s="109">
        <v>0.0</v>
      </c>
      <c r="Z150" s="111"/>
      <c r="AA150" s="111"/>
      <c r="AB150" s="111">
        <v>0.0</v>
      </c>
      <c r="AC150" s="111">
        <v>0.0</v>
      </c>
      <c r="AD150" s="112">
        <f t="shared" ref="AD150:AE150" si="387">PRODUCT(T150,2)</f>
        <v>0</v>
      </c>
      <c r="AE150" s="112">
        <f t="shared" si="387"/>
        <v>0</v>
      </c>
      <c r="AF150" s="112">
        <f t="shared" ref="AF150:AG150" si="388">PRODUCT(V150,3)</f>
        <v>0</v>
      </c>
      <c r="AG150" s="112">
        <f t="shared" si="388"/>
        <v>0</v>
      </c>
      <c r="AH150" s="112">
        <f t="shared" ref="AH150:AI150" si="389">PRODUCT(X150,4)</f>
        <v>8</v>
      </c>
      <c r="AI150" s="112">
        <f t="shared" si="389"/>
        <v>0</v>
      </c>
      <c r="AJ150" s="113">
        <f>PRODUCT(5,AB150)</f>
        <v>0</v>
      </c>
      <c r="AK150" s="113">
        <f>PRODUCT(AC150,5)</f>
        <v>0</v>
      </c>
      <c r="AL150" s="113">
        <v>123.0</v>
      </c>
    </row>
  </sheetData>
  <customSheetViews>
    <customSheetView guid="{80C5BE8B-E8F7-4791-B446-34F9FB010BD0}" filter="1" showAutoFilter="1">
      <autoFilter ref="$A$1:$AK$130"/>
    </customSheetView>
  </customSheetViews>
  <mergeCells count="17"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1:AE1"/>
    <mergeCell ref="D2:E2"/>
    <mergeCell ref="H2:I2"/>
    <mergeCell ref="J2:K2"/>
    <mergeCell ref="L2:M2"/>
    <mergeCell ref="N2:O2"/>
    <mergeCell ref="P2:Q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14.63"/>
    <col customWidth="1" min="3" max="3" width="11.5"/>
    <col customWidth="1" min="4" max="5" width="7.25"/>
    <col customWidth="1" min="6" max="6" width="13.88"/>
    <col customWidth="1" min="7" max="7" width="9.75"/>
    <col customWidth="1" min="8" max="9" width="6.13"/>
    <col customWidth="1" min="10" max="10" width="13.88"/>
    <col customWidth="1" min="11" max="11" width="10.5"/>
    <col customWidth="1" min="12" max="12" width="7.0"/>
    <col customWidth="1" min="13" max="13" width="11.75"/>
    <col customWidth="1" min="14" max="15" width="10.63"/>
  </cols>
  <sheetData>
    <row r="1">
      <c r="A1" s="7" t="s">
        <v>37</v>
      </c>
      <c r="B1" s="8"/>
      <c r="C1" s="9"/>
      <c r="D1" s="114"/>
      <c r="E1" s="7" t="s">
        <v>42</v>
      </c>
      <c r="F1" s="8"/>
      <c r="G1" s="9"/>
      <c r="H1" s="6"/>
      <c r="I1" s="7" t="s">
        <v>59</v>
      </c>
      <c r="J1" s="8"/>
      <c r="K1" s="9"/>
      <c r="L1" s="114"/>
      <c r="M1" s="7" t="s">
        <v>80</v>
      </c>
      <c r="N1" s="8"/>
      <c r="O1" s="9"/>
    </row>
    <row r="2">
      <c r="A2" s="115" t="s">
        <v>34</v>
      </c>
      <c r="B2" s="8"/>
      <c r="C2" s="9"/>
      <c r="D2" s="114"/>
      <c r="E2" s="115" t="s">
        <v>34</v>
      </c>
      <c r="F2" s="8"/>
      <c r="G2" s="9"/>
      <c r="H2" s="6"/>
      <c r="I2" s="115" t="s">
        <v>34</v>
      </c>
      <c r="J2" s="8"/>
      <c r="K2" s="9"/>
      <c r="L2" s="114"/>
      <c r="M2" s="115" t="s">
        <v>34</v>
      </c>
      <c r="N2" s="8"/>
      <c r="O2" s="9"/>
    </row>
    <row r="3" ht="15.75" customHeight="1">
      <c r="A3" s="116" t="s">
        <v>0</v>
      </c>
      <c r="B3" s="116" t="s">
        <v>2</v>
      </c>
      <c r="C3" s="116" t="s">
        <v>34</v>
      </c>
      <c r="D3" s="114"/>
      <c r="E3" s="116" t="s">
        <v>0</v>
      </c>
      <c r="F3" s="116" t="s">
        <v>2</v>
      </c>
      <c r="G3" s="116" t="s">
        <v>34</v>
      </c>
      <c r="H3" s="6"/>
      <c r="I3" s="116" t="s">
        <v>0</v>
      </c>
      <c r="J3" s="116" t="s">
        <v>2</v>
      </c>
      <c r="K3" s="116" t="s">
        <v>34</v>
      </c>
      <c r="L3" s="114"/>
      <c r="M3" s="116" t="s">
        <v>0</v>
      </c>
      <c r="N3" s="116" t="s">
        <v>2</v>
      </c>
      <c r="O3" s="116" t="s">
        <v>34</v>
      </c>
    </row>
    <row r="4">
      <c r="A4" s="13">
        <v>1.0</v>
      </c>
      <c r="B4" s="104" t="s">
        <v>6</v>
      </c>
      <c r="C4" s="104">
        <v>45.0</v>
      </c>
      <c r="D4" s="117"/>
      <c r="E4" s="13">
        <v>1.0</v>
      </c>
      <c r="F4" s="13" t="s">
        <v>7</v>
      </c>
      <c r="G4" s="13">
        <v>32.0</v>
      </c>
      <c r="H4" s="118"/>
      <c r="I4" s="12">
        <v>1.0</v>
      </c>
      <c r="J4" s="13" t="s">
        <v>4</v>
      </c>
      <c r="K4" s="13">
        <v>33.0</v>
      </c>
      <c r="L4" s="119"/>
      <c r="M4" s="12">
        <v>1.0</v>
      </c>
      <c r="N4" s="12" t="s">
        <v>15</v>
      </c>
      <c r="O4" s="12">
        <v>35.0</v>
      </c>
    </row>
    <row r="5">
      <c r="A5" s="25">
        <v>2.0</v>
      </c>
      <c r="B5" s="109" t="s">
        <v>4</v>
      </c>
      <c r="C5" s="109">
        <v>44.0</v>
      </c>
      <c r="D5" s="117"/>
      <c r="E5" s="25">
        <v>2.0</v>
      </c>
      <c r="F5" s="25" t="s">
        <v>4</v>
      </c>
      <c r="G5" s="25">
        <v>30.0</v>
      </c>
      <c r="H5" s="119"/>
      <c r="I5" s="28">
        <v>2.0</v>
      </c>
      <c r="J5" s="25" t="s">
        <v>5</v>
      </c>
      <c r="K5" s="25">
        <v>28.0</v>
      </c>
      <c r="L5" s="119"/>
      <c r="M5" s="28">
        <v>2.0</v>
      </c>
      <c r="N5" s="28" t="s">
        <v>12</v>
      </c>
      <c r="O5" s="28">
        <v>34.0</v>
      </c>
    </row>
    <row r="6">
      <c r="A6" s="13">
        <v>3.0</v>
      </c>
      <c r="B6" s="104" t="s">
        <v>29</v>
      </c>
      <c r="C6" s="104">
        <v>40.0</v>
      </c>
      <c r="D6" s="117"/>
      <c r="E6" s="13">
        <v>3.0</v>
      </c>
      <c r="F6" s="13" t="s">
        <v>28</v>
      </c>
      <c r="G6" s="13">
        <v>27.0</v>
      </c>
      <c r="H6" s="119"/>
      <c r="I6" s="12">
        <v>3.0</v>
      </c>
      <c r="J6" s="13" t="s">
        <v>16</v>
      </c>
      <c r="K6" s="13">
        <v>28.0</v>
      </c>
      <c r="L6" s="119"/>
      <c r="M6" s="12">
        <v>3.0</v>
      </c>
      <c r="N6" s="12" t="s">
        <v>16</v>
      </c>
      <c r="O6" s="12">
        <v>27.0</v>
      </c>
    </row>
    <row r="7">
      <c r="A7" s="25">
        <v>4.0</v>
      </c>
      <c r="B7" s="109" t="s">
        <v>28</v>
      </c>
      <c r="C7" s="109">
        <v>36.0</v>
      </c>
      <c r="D7" s="117"/>
      <c r="E7" s="25">
        <v>4.0</v>
      </c>
      <c r="F7" s="25" t="s">
        <v>38</v>
      </c>
      <c r="G7" s="25">
        <v>26.0</v>
      </c>
      <c r="H7" s="119"/>
      <c r="I7" s="28">
        <v>3.0</v>
      </c>
      <c r="J7" s="25" t="s">
        <v>44</v>
      </c>
      <c r="K7" s="25">
        <v>25.0</v>
      </c>
      <c r="L7" s="119"/>
      <c r="M7" s="28">
        <v>3.0</v>
      </c>
      <c r="N7" s="28" t="s">
        <v>44</v>
      </c>
      <c r="O7" s="28">
        <v>27.0</v>
      </c>
    </row>
    <row r="8">
      <c r="A8" s="13">
        <v>5.0</v>
      </c>
      <c r="B8" s="104" t="s">
        <v>24</v>
      </c>
      <c r="C8" s="104">
        <v>30.0</v>
      </c>
      <c r="D8" s="117"/>
      <c r="E8" s="13">
        <v>5.0</v>
      </c>
      <c r="F8" s="13" t="s">
        <v>17</v>
      </c>
      <c r="G8" s="13">
        <v>24.0</v>
      </c>
      <c r="H8" s="118"/>
      <c r="I8" s="12">
        <v>5.0</v>
      </c>
      <c r="J8" s="13" t="s">
        <v>9</v>
      </c>
      <c r="K8" s="13">
        <v>25.0</v>
      </c>
      <c r="L8" s="119"/>
      <c r="M8" s="12">
        <v>5.0</v>
      </c>
      <c r="N8" s="12" t="s">
        <v>38</v>
      </c>
      <c r="O8" s="12">
        <v>19.0</v>
      </c>
    </row>
    <row r="9">
      <c r="A9" s="115" t="s">
        <v>40</v>
      </c>
      <c r="B9" s="8"/>
      <c r="C9" s="9"/>
      <c r="D9" s="114"/>
      <c r="E9" s="115" t="s">
        <v>40</v>
      </c>
      <c r="F9" s="8"/>
      <c r="G9" s="9"/>
      <c r="H9" s="120"/>
      <c r="I9" s="121">
        <v>5.0</v>
      </c>
      <c r="J9" s="25" t="s">
        <v>17</v>
      </c>
      <c r="K9" s="25">
        <v>25.0</v>
      </c>
      <c r="L9" s="114"/>
      <c r="M9" s="115" t="s">
        <v>41</v>
      </c>
      <c r="N9" s="8"/>
      <c r="O9" s="9"/>
    </row>
    <row r="10">
      <c r="A10" s="116" t="s">
        <v>0</v>
      </c>
      <c r="B10" s="116" t="s">
        <v>2</v>
      </c>
      <c r="C10" s="116" t="s">
        <v>41</v>
      </c>
      <c r="D10" s="114"/>
      <c r="E10" s="116" t="s">
        <v>0</v>
      </c>
      <c r="F10" s="116" t="s">
        <v>2</v>
      </c>
      <c r="G10" s="116" t="s">
        <v>41</v>
      </c>
      <c r="H10" s="6"/>
      <c r="I10" s="115" t="s">
        <v>41</v>
      </c>
      <c r="J10" s="8"/>
      <c r="K10" s="9"/>
      <c r="L10" s="114"/>
      <c r="M10" s="116" t="s">
        <v>0</v>
      </c>
      <c r="N10" s="116" t="s">
        <v>2</v>
      </c>
      <c r="O10" s="116" t="s">
        <v>41</v>
      </c>
    </row>
    <row r="11">
      <c r="A11" s="13">
        <v>1.0</v>
      </c>
      <c r="B11" s="13" t="s">
        <v>6</v>
      </c>
      <c r="C11" s="42">
        <v>0.94</v>
      </c>
      <c r="D11" s="117"/>
      <c r="E11" s="13">
        <v>1.0</v>
      </c>
      <c r="F11" s="13" t="s">
        <v>6</v>
      </c>
      <c r="G11" s="42">
        <v>0.8461538461538463</v>
      </c>
      <c r="H11" s="6"/>
      <c r="I11" s="116" t="s">
        <v>0</v>
      </c>
      <c r="J11" s="116" t="s">
        <v>2</v>
      </c>
      <c r="K11" s="116" t="s">
        <v>41</v>
      </c>
      <c r="L11" s="119"/>
      <c r="M11" s="12">
        <v>1.0</v>
      </c>
      <c r="N11" s="13" t="s">
        <v>15</v>
      </c>
      <c r="O11" s="12">
        <v>0.85</v>
      </c>
    </row>
    <row r="12">
      <c r="A12" s="25">
        <v>2.0</v>
      </c>
      <c r="B12" s="25" t="s">
        <v>4</v>
      </c>
      <c r="C12" s="43">
        <v>0.79</v>
      </c>
      <c r="D12" s="117"/>
      <c r="E12" s="25">
        <v>2.0</v>
      </c>
      <c r="F12" s="25" t="s">
        <v>4</v>
      </c>
      <c r="G12" s="43">
        <v>0.8333333333333333</v>
      </c>
      <c r="H12" s="118"/>
      <c r="I12" s="12">
        <v>1.0</v>
      </c>
      <c r="J12" s="13" t="s">
        <v>4</v>
      </c>
      <c r="K12" s="12">
        <v>0.79</v>
      </c>
      <c r="L12" s="119"/>
      <c r="M12" s="28">
        <v>2.0</v>
      </c>
      <c r="N12" s="25" t="s">
        <v>12</v>
      </c>
      <c r="O12" s="28">
        <v>0.81</v>
      </c>
    </row>
    <row r="13">
      <c r="A13" s="13">
        <v>3.0</v>
      </c>
      <c r="B13" s="13" t="s">
        <v>17</v>
      </c>
      <c r="C13" s="42">
        <v>0.78</v>
      </c>
      <c r="D13" s="117"/>
      <c r="E13" s="13">
        <v>3.0</v>
      </c>
      <c r="F13" s="13" t="s">
        <v>17</v>
      </c>
      <c r="G13" s="42">
        <v>0.75</v>
      </c>
      <c r="H13" s="118"/>
      <c r="I13" s="28">
        <v>2.0</v>
      </c>
      <c r="J13" s="25" t="s">
        <v>5</v>
      </c>
      <c r="K13" s="28">
        <v>0.74</v>
      </c>
      <c r="L13" s="119"/>
      <c r="M13" s="12">
        <v>3.0</v>
      </c>
      <c r="N13" s="13" t="s">
        <v>110</v>
      </c>
      <c r="O13" s="12">
        <v>0.74</v>
      </c>
    </row>
    <row r="14">
      <c r="A14" s="25">
        <v>4.0</v>
      </c>
      <c r="B14" s="25" t="s">
        <v>28</v>
      </c>
      <c r="C14" s="43">
        <v>0.75</v>
      </c>
      <c r="D14" s="117"/>
      <c r="E14" s="25">
        <v>4.0</v>
      </c>
      <c r="F14" s="25" t="s">
        <v>7</v>
      </c>
      <c r="G14" s="43">
        <v>0.7441860465116279</v>
      </c>
      <c r="H14" s="118"/>
      <c r="I14" s="12">
        <v>3.0</v>
      </c>
      <c r="J14" s="13" t="s">
        <v>16</v>
      </c>
      <c r="K14" s="12">
        <v>0.72</v>
      </c>
      <c r="L14" s="119"/>
      <c r="M14" s="28">
        <v>3.0</v>
      </c>
      <c r="N14" s="25" t="s">
        <v>26</v>
      </c>
      <c r="O14" s="28">
        <v>0.72</v>
      </c>
    </row>
    <row r="15">
      <c r="A15" s="13">
        <v>5.0</v>
      </c>
      <c r="B15" s="13" t="s">
        <v>148</v>
      </c>
      <c r="C15" s="13">
        <v>0.73</v>
      </c>
      <c r="D15" s="117"/>
      <c r="E15" s="13">
        <v>5.0</v>
      </c>
      <c r="F15" s="13" t="s">
        <v>16</v>
      </c>
      <c r="G15" s="42">
        <v>0.6428571428571428</v>
      </c>
      <c r="H15" s="118"/>
      <c r="I15" s="28">
        <v>3.0</v>
      </c>
      <c r="J15" s="25" t="s">
        <v>6</v>
      </c>
      <c r="K15" s="28">
        <v>0.71</v>
      </c>
      <c r="L15" s="119"/>
      <c r="M15" s="12">
        <v>4.0</v>
      </c>
      <c r="N15" s="13" t="s">
        <v>44</v>
      </c>
      <c r="O15" s="12">
        <v>0.71</v>
      </c>
    </row>
    <row r="16">
      <c r="A16" s="25">
        <v>5.0</v>
      </c>
      <c r="B16" s="25" t="s">
        <v>24</v>
      </c>
      <c r="C16" s="43">
        <v>0.73</v>
      </c>
      <c r="D16" s="114"/>
      <c r="E16" s="115" t="s">
        <v>46</v>
      </c>
      <c r="F16" s="32"/>
      <c r="G16" s="9"/>
      <c r="H16" s="118"/>
      <c r="I16" s="12">
        <v>4.0</v>
      </c>
      <c r="J16" s="13" t="s">
        <v>9</v>
      </c>
      <c r="K16" s="12">
        <v>0.69</v>
      </c>
      <c r="L16" s="114"/>
      <c r="M16" s="115" t="s">
        <v>46</v>
      </c>
      <c r="N16" s="19"/>
      <c r="O16" s="9"/>
    </row>
    <row r="17">
      <c r="A17" s="115" t="s">
        <v>46</v>
      </c>
      <c r="B17" s="19"/>
      <c r="C17" s="20"/>
      <c r="D17" s="114"/>
      <c r="E17" s="122" t="s">
        <v>0</v>
      </c>
      <c r="F17" s="122" t="s">
        <v>2</v>
      </c>
      <c r="G17" s="122" t="s">
        <v>46</v>
      </c>
      <c r="H17" s="6"/>
      <c r="I17" s="115" t="s">
        <v>46</v>
      </c>
      <c r="J17" s="19"/>
      <c r="K17" s="20"/>
      <c r="L17" s="114"/>
      <c r="M17" s="116" t="s">
        <v>0</v>
      </c>
      <c r="N17" s="122" t="s">
        <v>2</v>
      </c>
      <c r="O17" s="116" t="s">
        <v>46</v>
      </c>
    </row>
    <row r="18">
      <c r="A18" s="122" t="s">
        <v>0</v>
      </c>
      <c r="B18" s="122" t="s">
        <v>2</v>
      </c>
      <c r="C18" s="122" t="s">
        <v>46</v>
      </c>
      <c r="D18" s="117"/>
      <c r="E18" s="13">
        <v>1.0</v>
      </c>
      <c r="F18" s="13" t="s">
        <v>6</v>
      </c>
      <c r="G18" s="13">
        <v>41.0</v>
      </c>
      <c r="H18" s="6"/>
      <c r="I18" s="116" t="s">
        <v>0</v>
      </c>
      <c r="J18" s="122" t="s">
        <v>2</v>
      </c>
      <c r="K18" s="122" t="s">
        <v>46</v>
      </c>
      <c r="L18" s="119"/>
      <c r="M18" s="12">
        <v>1.0</v>
      </c>
      <c r="N18" s="12" t="s">
        <v>15</v>
      </c>
      <c r="O18" s="12">
        <v>44.0</v>
      </c>
    </row>
    <row r="19">
      <c r="A19" s="13">
        <v>1.0</v>
      </c>
      <c r="B19" s="13" t="s">
        <v>6</v>
      </c>
      <c r="C19" s="13">
        <v>83.0</v>
      </c>
      <c r="D19" s="117"/>
      <c r="E19" s="25">
        <v>2.0</v>
      </c>
      <c r="F19" s="25" t="s">
        <v>28</v>
      </c>
      <c r="G19" s="25">
        <v>38.0</v>
      </c>
      <c r="H19" s="118"/>
      <c r="I19" s="12">
        <v>1.0</v>
      </c>
      <c r="J19" s="13" t="s">
        <v>4</v>
      </c>
      <c r="K19" s="13">
        <v>46.0</v>
      </c>
      <c r="L19" s="119"/>
      <c r="M19" s="28">
        <v>2.0</v>
      </c>
      <c r="N19" s="28" t="s">
        <v>16</v>
      </c>
      <c r="O19" s="28">
        <v>39.0</v>
      </c>
    </row>
    <row r="20">
      <c r="A20" s="25">
        <v>2.0</v>
      </c>
      <c r="B20" s="25" t="s">
        <v>29</v>
      </c>
      <c r="C20" s="25">
        <v>69.0</v>
      </c>
      <c r="D20" s="117"/>
      <c r="E20" s="13">
        <v>3.0</v>
      </c>
      <c r="F20" s="13" t="s">
        <v>38</v>
      </c>
      <c r="G20" s="13">
        <v>36.0</v>
      </c>
      <c r="H20" s="118"/>
      <c r="I20" s="28">
        <v>2.0</v>
      </c>
      <c r="J20" s="25" t="s">
        <v>5</v>
      </c>
      <c r="K20" s="25">
        <v>38.0</v>
      </c>
      <c r="L20" s="119"/>
      <c r="M20" s="12">
        <v>3.0</v>
      </c>
      <c r="N20" s="12" t="s">
        <v>38</v>
      </c>
      <c r="O20" s="12">
        <v>30.0</v>
      </c>
    </row>
    <row r="21">
      <c r="A21" s="13">
        <v>3.0</v>
      </c>
      <c r="B21" s="13" t="s">
        <v>4</v>
      </c>
      <c r="C21" s="13">
        <v>49.0</v>
      </c>
      <c r="D21" s="117"/>
      <c r="E21" s="25">
        <v>4.0</v>
      </c>
      <c r="F21" s="25" t="s">
        <v>7</v>
      </c>
      <c r="G21" s="25">
        <v>34.0</v>
      </c>
      <c r="H21" s="118"/>
      <c r="I21" s="12">
        <v>3.0</v>
      </c>
      <c r="J21" s="13" t="s">
        <v>38</v>
      </c>
      <c r="K21" s="13">
        <v>35.0</v>
      </c>
      <c r="L21" s="119"/>
      <c r="M21" s="28">
        <v>4.0</v>
      </c>
      <c r="N21" s="28" t="s">
        <v>12</v>
      </c>
      <c r="O21" s="28">
        <v>29.0</v>
      </c>
    </row>
    <row r="22">
      <c r="A22" s="25">
        <v>4.0</v>
      </c>
      <c r="B22" s="25" t="s">
        <v>28</v>
      </c>
      <c r="C22" s="25">
        <v>44.0</v>
      </c>
      <c r="D22" s="117"/>
      <c r="E22" s="13">
        <v>5.0</v>
      </c>
      <c r="F22" s="13" t="s">
        <v>4</v>
      </c>
      <c r="G22" s="13">
        <v>33.0</v>
      </c>
      <c r="H22" s="118"/>
      <c r="I22" s="28">
        <v>4.0</v>
      </c>
      <c r="J22" s="25" t="s">
        <v>44</v>
      </c>
      <c r="K22" s="25">
        <v>34.0</v>
      </c>
      <c r="L22" s="119"/>
      <c r="M22" s="12">
        <v>4.0</v>
      </c>
      <c r="N22" s="12" t="s">
        <v>44</v>
      </c>
      <c r="O22" s="12">
        <v>29.0</v>
      </c>
    </row>
    <row r="23">
      <c r="A23" s="13">
        <v>5.0</v>
      </c>
      <c r="B23" s="13" t="s">
        <v>17</v>
      </c>
      <c r="C23" s="13">
        <v>34.0</v>
      </c>
      <c r="D23" s="114"/>
      <c r="E23" s="115" t="s">
        <v>48</v>
      </c>
      <c r="F23" s="19"/>
      <c r="G23" s="9"/>
      <c r="H23" s="118"/>
      <c r="I23" s="12">
        <v>5.0</v>
      </c>
      <c r="J23" s="13" t="s">
        <v>16</v>
      </c>
      <c r="K23" s="13">
        <v>31.0</v>
      </c>
      <c r="L23" s="114"/>
      <c r="M23" s="115" t="s">
        <v>48</v>
      </c>
      <c r="N23" s="32"/>
      <c r="O23" s="9"/>
    </row>
    <row r="24">
      <c r="A24" s="115" t="s">
        <v>48</v>
      </c>
      <c r="B24" s="32"/>
      <c r="C24" s="60"/>
      <c r="D24" s="114"/>
      <c r="E24" s="122" t="s">
        <v>0</v>
      </c>
      <c r="F24" s="122" t="s">
        <v>2</v>
      </c>
      <c r="G24" s="116" t="s">
        <v>48</v>
      </c>
      <c r="H24" s="6"/>
      <c r="I24" s="115" t="s">
        <v>48</v>
      </c>
      <c r="J24" s="32"/>
      <c r="K24" s="60"/>
      <c r="L24" s="114"/>
      <c r="M24" s="116" t="s">
        <v>0</v>
      </c>
      <c r="N24" s="123" t="s">
        <v>2</v>
      </c>
      <c r="O24" s="116" t="s">
        <v>48</v>
      </c>
    </row>
    <row r="25">
      <c r="A25" s="122" t="s">
        <v>0</v>
      </c>
      <c r="B25" s="122" t="s">
        <v>2</v>
      </c>
      <c r="C25" s="122" t="s">
        <v>48</v>
      </c>
      <c r="D25" s="117"/>
      <c r="E25" s="13">
        <v>1.0</v>
      </c>
      <c r="F25" s="13" t="s">
        <v>7</v>
      </c>
      <c r="G25" s="13">
        <v>26.0</v>
      </c>
      <c r="H25" s="6"/>
      <c r="I25" s="116" t="s">
        <v>0</v>
      </c>
      <c r="J25" s="123" t="s">
        <v>2</v>
      </c>
      <c r="K25" s="123" t="s">
        <v>48</v>
      </c>
      <c r="L25" s="119"/>
      <c r="M25" s="12">
        <v>1.0</v>
      </c>
      <c r="N25" s="12" t="s">
        <v>15</v>
      </c>
      <c r="O25" s="12">
        <v>24.0</v>
      </c>
    </row>
    <row r="26">
      <c r="A26" s="13">
        <v>1.0</v>
      </c>
      <c r="B26" s="13" t="s">
        <v>4</v>
      </c>
      <c r="C26" s="13">
        <v>37.0</v>
      </c>
      <c r="D26" s="117"/>
      <c r="E26" s="25">
        <v>2.0</v>
      </c>
      <c r="F26" s="25" t="s">
        <v>28</v>
      </c>
      <c r="G26" s="25">
        <v>23.0</v>
      </c>
      <c r="H26" s="118"/>
      <c r="I26" s="12">
        <v>1.0</v>
      </c>
      <c r="J26" s="13" t="s">
        <v>4</v>
      </c>
      <c r="K26" s="13">
        <v>27.0</v>
      </c>
      <c r="L26" s="119"/>
      <c r="M26" s="28">
        <v>1.0</v>
      </c>
      <c r="N26" s="28" t="s">
        <v>12</v>
      </c>
      <c r="O26" s="28">
        <v>24.0</v>
      </c>
    </row>
    <row r="27">
      <c r="A27" s="25">
        <v>2.0</v>
      </c>
      <c r="B27" s="25" t="s">
        <v>6</v>
      </c>
      <c r="C27" s="25">
        <v>29.0</v>
      </c>
      <c r="D27" s="117"/>
      <c r="E27" s="13">
        <v>3.0</v>
      </c>
      <c r="F27" s="13" t="s">
        <v>4</v>
      </c>
      <c r="G27" s="13">
        <v>18.0</v>
      </c>
      <c r="H27" s="118"/>
      <c r="I27" s="28">
        <v>2.0</v>
      </c>
      <c r="J27" s="25" t="s">
        <v>5</v>
      </c>
      <c r="K27" s="25">
        <v>20.0</v>
      </c>
      <c r="L27" s="119"/>
      <c r="M27" s="12">
        <v>3.0</v>
      </c>
      <c r="N27" s="12" t="s">
        <v>16</v>
      </c>
      <c r="O27" s="12">
        <v>19.0</v>
      </c>
    </row>
    <row r="28">
      <c r="A28" s="13">
        <v>3.0</v>
      </c>
      <c r="B28" s="13" t="s">
        <v>29</v>
      </c>
      <c r="C28" s="13">
        <v>25.0</v>
      </c>
      <c r="D28" s="117"/>
      <c r="E28" s="25">
        <v>4.0</v>
      </c>
      <c r="F28" s="25" t="s">
        <v>38</v>
      </c>
      <c r="G28" s="25">
        <v>17.0</v>
      </c>
      <c r="H28" s="118"/>
      <c r="I28" s="12">
        <v>3.0</v>
      </c>
      <c r="J28" s="13" t="s">
        <v>16</v>
      </c>
      <c r="K28" s="13">
        <v>19.0</v>
      </c>
      <c r="L28" s="119"/>
      <c r="M28" s="28">
        <v>4.0</v>
      </c>
      <c r="N28" s="28" t="s">
        <v>44</v>
      </c>
      <c r="O28" s="28">
        <v>18.0</v>
      </c>
    </row>
    <row r="29">
      <c r="A29" s="25">
        <v>4.0</v>
      </c>
      <c r="B29" s="25" t="s">
        <v>28</v>
      </c>
      <c r="C29" s="25">
        <v>22.0</v>
      </c>
      <c r="D29" s="117"/>
      <c r="E29" s="13">
        <v>5.0</v>
      </c>
      <c r="F29" s="13" t="s">
        <v>17</v>
      </c>
      <c r="G29" s="13">
        <v>16.0</v>
      </c>
      <c r="H29" s="118"/>
      <c r="I29" s="28">
        <v>3.0</v>
      </c>
      <c r="J29" s="25" t="s">
        <v>9</v>
      </c>
      <c r="K29" s="25">
        <v>19.0</v>
      </c>
      <c r="L29" s="119"/>
      <c r="M29" s="12">
        <v>5.0</v>
      </c>
      <c r="N29" s="12" t="s">
        <v>38</v>
      </c>
      <c r="O29" s="12">
        <v>15.0</v>
      </c>
    </row>
    <row r="30">
      <c r="A30" s="13">
        <v>5.0</v>
      </c>
      <c r="B30" s="13" t="s">
        <v>24</v>
      </c>
      <c r="C30" s="13">
        <v>22.0</v>
      </c>
      <c r="D30" s="114"/>
      <c r="E30" s="115" t="s">
        <v>49</v>
      </c>
      <c r="F30" s="32"/>
      <c r="G30" s="9"/>
      <c r="H30" s="118"/>
      <c r="I30" s="12">
        <v>5.0</v>
      </c>
      <c r="J30" s="13" t="s">
        <v>44</v>
      </c>
      <c r="K30" s="13">
        <v>15.0</v>
      </c>
      <c r="L30" s="114"/>
      <c r="M30" s="115" t="s">
        <v>52</v>
      </c>
      <c r="N30" s="19"/>
      <c r="O30" s="9"/>
    </row>
    <row r="31">
      <c r="A31" s="115" t="s">
        <v>49</v>
      </c>
      <c r="B31" s="19"/>
      <c r="C31" s="20"/>
      <c r="D31" s="114"/>
      <c r="E31" s="123" t="s">
        <v>0</v>
      </c>
      <c r="F31" s="123" t="s">
        <v>2</v>
      </c>
      <c r="G31" s="123" t="s">
        <v>48</v>
      </c>
      <c r="H31" s="6"/>
      <c r="I31" s="115" t="s">
        <v>52</v>
      </c>
      <c r="J31" s="19"/>
      <c r="K31" s="20"/>
      <c r="L31" s="114"/>
      <c r="M31" s="116" t="s">
        <v>0</v>
      </c>
      <c r="N31" s="122" t="s">
        <v>2</v>
      </c>
      <c r="O31" s="116" t="s">
        <v>52</v>
      </c>
    </row>
    <row r="32">
      <c r="A32" s="122" t="s">
        <v>0</v>
      </c>
      <c r="B32" s="122" t="s">
        <v>2</v>
      </c>
      <c r="C32" s="122" t="s">
        <v>49</v>
      </c>
      <c r="D32" s="117"/>
      <c r="E32" s="25">
        <v>1.0</v>
      </c>
      <c r="F32" s="109" t="s">
        <v>6</v>
      </c>
      <c r="G32" s="51">
        <v>3.0</v>
      </c>
      <c r="H32" s="6"/>
      <c r="I32" s="116" t="s">
        <v>0</v>
      </c>
      <c r="J32" s="122" t="s">
        <v>2</v>
      </c>
      <c r="K32" s="122" t="s">
        <v>52</v>
      </c>
      <c r="L32" s="119"/>
      <c r="M32" s="12">
        <v>1.0</v>
      </c>
      <c r="N32" s="12" t="s">
        <v>15</v>
      </c>
      <c r="O32" s="12">
        <v>197.0</v>
      </c>
    </row>
    <row r="33">
      <c r="A33" s="13">
        <v>1.0</v>
      </c>
      <c r="B33" s="104" t="s">
        <v>6</v>
      </c>
      <c r="C33" s="13">
        <v>3.0</v>
      </c>
      <c r="D33" s="117"/>
      <c r="E33" s="13">
        <v>2.0</v>
      </c>
      <c r="F33" s="104" t="s">
        <v>7</v>
      </c>
      <c r="G33" s="13">
        <v>2.0</v>
      </c>
      <c r="H33" s="118"/>
      <c r="I33" s="12">
        <v>1.0</v>
      </c>
      <c r="J33" s="13" t="s">
        <v>4</v>
      </c>
      <c r="K33" s="13">
        <v>180.0</v>
      </c>
      <c r="L33" s="119"/>
      <c r="M33" s="28">
        <v>2.0</v>
      </c>
      <c r="N33" s="28" t="s">
        <v>12</v>
      </c>
      <c r="O33" s="28">
        <v>148.0</v>
      </c>
    </row>
    <row r="34">
      <c r="A34" s="25">
        <v>2.0</v>
      </c>
      <c r="B34" s="113" t="s">
        <v>28</v>
      </c>
      <c r="C34" s="25">
        <v>3.0</v>
      </c>
      <c r="D34" s="117"/>
      <c r="E34" s="25">
        <v>3.0</v>
      </c>
      <c r="F34" s="109" t="s">
        <v>38</v>
      </c>
      <c r="G34" s="51">
        <v>1.0</v>
      </c>
      <c r="H34" s="118"/>
      <c r="I34" s="28">
        <v>2.0</v>
      </c>
      <c r="J34" s="25" t="s">
        <v>16</v>
      </c>
      <c r="K34" s="25">
        <v>167.0</v>
      </c>
      <c r="L34" s="119"/>
      <c r="M34" s="12">
        <v>3.0</v>
      </c>
      <c r="N34" s="12" t="s">
        <v>16</v>
      </c>
      <c r="O34" s="12">
        <v>123.0</v>
      </c>
    </row>
    <row r="35">
      <c r="A35" s="13">
        <v>3.0</v>
      </c>
      <c r="B35" s="107" t="s">
        <v>29</v>
      </c>
      <c r="C35" s="13">
        <v>1.0</v>
      </c>
      <c r="D35" s="117"/>
      <c r="E35" s="13">
        <v>4.0</v>
      </c>
      <c r="F35" s="104" t="s">
        <v>4</v>
      </c>
      <c r="G35" s="13">
        <v>1.0</v>
      </c>
      <c r="H35" s="118"/>
      <c r="I35" s="12">
        <v>3.0</v>
      </c>
      <c r="J35" s="13" t="s">
        <v>5</v>
      </c>
      <c r="K35" s="13">
        <v>157.0</v>
      </c>
      <c r="L35" s="119"/>
      <c r="M35" s="28">
        <v>4.0</v>
      </c>
      <c r="N35" s="28" t="s">
        <v>38</v>
      </c>
      <c r="O35" s="28">
        <v>115.0</v>
      </c>
    </row>
    <row r="36">
      <c r="A36" s="51">
        <v>4.0</v>
      </c>
      <c r="B36" s="124" t="s">
        <v>4</v>
      </c>
      <c r="C36" s="25">
        <v>1.0</v>
      </c>
      <c r="D36" s="114"/>
      <c r="E36" s="115" t="s">
        <v>52</v>
      </c>
      <c r="F36" s="8"/>
      <c r="G36" s="9"/>
      <c r="H36" s="118"/>
      <c r="I36" s="28">
        <v>4.0</v>
      </c>
      <c r="J36" s="25" t="s">
        <v>44</v>
      </c>
      <c r="K36" s="25">
        <v>143.0</v>
      </c>
      <c r="L36" s="119"/>
      <c r="M36" s="12">
        <v>5.0</v>
      </c>
      <c r="N36" s="12" t="s">
        <v>44</v>
      </c>
      <c r="O36" s="12">
        <v>114.0</v>
      </c>
    </row>
    <row r="37">
      <c r="A37" s="115" t="s">
        <v>52</v>
      </c>
      <c r="B37" s="8"/>
      <c r="C37" s="9"/>
      <c r="D37" s="114"/>
      <c r="E37" s="116" t="s">
        <v>0</v>
      </c>
      <c r="F37" s="116" t="s">
        <v>2</v>
      </c>
      <c r="G37" s="116" t="s">
        <v>52</v>
      </c>
      <c r="H37" s="118"/>
      <c r="I37" s="12">
        <v>5.0</v>
      </c>
      <c r="J37" s="13" t="s">
        <v>9</v>
      </c>
      <c r="K37" s="13">
        <v>130.0</v>
      </c>
      <c r="L37" s="114"/>
      <c r="M37" s="115" t="s">
        <v>54</v>
      </c>
      <c r="N37" s="32"/>
      <c r="O37" s="9"/>
    </row>
    <row r="38" ht="15.0" customHeight="1">
      <c r="A38" s="116" t="s">
        <v>0</v>
      </c>
      <c r="B38" s="116" t="s">
        <v>2</v>
      </c>
      <c r="C38" s="116" t="s">
        <v>52</v>
      </c>
      <c r="D38" s="117"/>
      <c r="E38" s="13">
        <v>1.0</v>
      </c>
      <c r="F38" s="13" t="s">
        <v>7</v>
      </c>
      <c r="G38" s="13">
        <v>174.0</v>
      </c>
      <c r="H38" s="6"/>
      <c r="I38" s="115" t="s">
        <v>54</v>
      </c>
      <c r="J38" s="32"/>
      <c r="K38" s="60"/>
      <c r="L38" s="114"/>
      <c r="M38" s="122" t="s">
        <v>0</v>
      </c>
      <c r="N38" s="122" t="s">
        <v>2</v>
      </c>
      <c r="O38" s="122" t="s">
        <v>149</v>
      </c>
    </row>
    <row r="39" ht="17.25" customHeight="1">
      <c r="A39" s="13">
        <v>1.0</v>
      </c>
      <c r="B39" s="13" t="s">
        <v>4</v>
      </c>
      <c r="C39" s="13">
        <v>227.0</v>
      </c>
      <c r="D39" s="117"/>
      <c r="E39" s="25">
        <v>2.0</v>
      </c>
      <c r="F39" s="25" t="s">
        <v>28</v>
      </c>
      <c r="G39" s="25">
        <v>143.0</v>
      </c>
      <c r="H39" s="6"/>
      <c r="I39" s="122" t="s">
        <v>0</v>
      </c>
      <c r="J39" s="122" t="s">
        <v>2</v>
      </c>
      <c r="K39" s="122" t="s">
        <v>149</v>
      </c>
      <c r="L39" s="119"/>
      <c r="M39" s="12">
        <v>1.0</v>
      </c>
      <c r="N39" s="12" t="s">
        <v>15</v>
      </c>
      <c r="O39" s="12">
        <v>49.0</v>
      </c>
    </row>
    <row r="40">
      <c r="A40" s="25">
        <v>2.0</v>
      </c>
      <c r="B40" s="25" t="s">
        <v>6</v>
      </c>
      <c r="C40" s="25">
        <v>202.0</v>
      </c>
      <c r="D40" s="117"/>
      <c r="E40" s="13">
        <v>3.0</v>
      </c>
      <c r="F40" s="13" t="s">
        <v>38</v>
      </c>
      <c r="G40" s="13">
        <v>137.5</v>
      </c>
      <c r="H40" s="118"/>
      <c r="I40" s="12">
        <v>1.0</v>
      </c>
      <c r="J40" s="13" t="s">
        <v>38</v>
      </c>
      <c r="K40" s="13">
        <v>54.0</v>
      </c>
      <c r="L40" s="119"/>
      <c r="M40" s="28">
        <v>2.0</v>
      </c>
      <c r="N40" s="28" t="s">
        <v>38</v>
      </c>
      <c r="O40" s="28">
        <v>36.0</v>
      </c>
    </row>
    <row r="41">
      <c r="A41" s="13">
        <v>3.0</v>
      </c>
      <c r="B41" s="13" t="s">
        <v>29</v>
      </c>
      <c r="C41" s="13">
        <v>183.0</v>
      </c>
      <c r="D41" s="117"/>
      <c r="E41" s="25">
        <v>4.0</v>
      </c>
      <c r="F41" s="25" t="s">
        <v>4</v>
      </c>
      <c r="G41" s="25">
        <v>134.5</v>
      </c>
      <c r="H41" s="118"/>
      <c r="I41" s="28">
        <v>2.0</v>
      </c>
      <c r="J41" s="25" t="s">
        <v>24</v>
      </c>
      <c r="K41" s="25">
        <v>33.0</v>
      </c>
      <c r="L41" s="119"/>
      <c r="M41" s="12">
        <v>3.0</v>
      </c>
      <c r="N41" s="12" t="s">
        <v>12</v>
      </c>
      <c r="O41" s="12">
        <v>21.0</v>
      </c>
    </row>
    <row r="42">
      <c r="A42" s="25">
        <v>4.0</v>
      </c>
      <c r="B42" s="25" t="s">
        <v>28</v>
      </c>
      <c r="C42" s="25">
        <v>156.0</v>
      </c>
      <c r="D42" s="117"/>
      <c r="E42" s="13">
        <v>5.0</v>
      </c>
      <c r="F42" s="13" t="s">
        <v>17</v>
      </c>
      <c r="G42" s="13">
        <v>117.0</v>
      </c>
      <c r="H42" s="118"/>
      <c r="I42" s="12">
        <v>3.0</v>
      </c>
      <c r="J42" s="13" t="s">
        <v>16</v>
      </c>
      <c r="K42" s="13">
        <v>30.0</v>
      </c>
      <c r="L42" s="119"/>
      <c r="M42" s="28">
        <v>3.0</v>
      </c>
      <c r="N42" s="28" t="s">
        <v>44</v>
      </c>
      <c r="O42" s="28">
        <v>21.0</v>
      </c>
    </row>
    <row r="43">
      <c r="A43" s="13">
        <v>5.0</v>
      </c>
      <c r="B43" s="13" t="s">
        <v>24</v>
      </c>
      <c r="C43" s="13">
        <v>132.0</v>
      </c>
      <c r="D43" s="114"/>
      <c r="E43" s="115" t="s">
        <v>54</v>
      </c>
      <c r="F43" s="8"/>
      <c r="G43" s="9"/>
      <c r="H43" s="118"/>
      <c r="I43" s="28">
        <v>3.0</v>
      </c>
      <c r="J43" s="25" t="s">
        <v>7</v>
      </c>
      <c r="K43" s="25">
        <v>30.0</v>
      </c>
      <c r="L43" s="119"/>
      <c r="M43" s="12">
        <v>4.0</v>
      </c>
      <c r="N43" s="12" t="s">
        <v>16</v>
      </c>
      <c r="O43" s="12">
        <v>15.0</v>
      </c>
    </row>
    <row r="44">
      <c r="A44" s="115" t="s">
        <v>54</v>
      </c>
      <c r="B44" s="8"/>
      <c r="C44" s="9"/>
      <c r="D44" s="114"/>
      <c r="E44" s="116" t="s">
        <v>0</v>
      </c>
      <c r="F44" s="116" t="s">
        <v>2</v>
      </c>
      <c r="G44" s="116" t="s">
        <v>150</v>
      </c>
      <c r="H44" s="118"/>
      <c r="I44" s="12">
        <v>4.0</v>
      </c>
      <c r="J44" s="13" t="s">
        <v>29</v>
      </c>
      <c r="K44" s="13">
        <v>30.0</v>
      </c>
      <c r="L44" s="117"/>
      <c r="M44" s="117"/>
      <c r="N44" s="119"/>
      <c r="O44" s="119"/>
    </row>
    <row r="45">
      <c r="A45" s="116" t="s">
        <v>0</v>
      </c>
      <c r="B45" s="116" t="s">
        <v>2</v>
      </c>
      <c r="C45" s="116" t="s">
        <v>149</v>
      </c>
      <c r="D45" s="117"/>
      <c r="E45" s="13">
        <v>1.0</v>
      </c>
      <c r="F45" s="13" t="s">
        <v>29</v>
      </c>
      <c r="G45" s="13">
        <v>50.0</v>
      </c>
      <c r="H45" s="125"/>
      <c r="I45" s="117"/>
      <c r="J45" s="126"/>
      <c r="K45" s="117"/>
      <c r="L45" s="117"/>
      <c r="M45" s="117"/>
      <c r="N45" s="119"/>
      <c r="O45" s="119"/>
    </row>
    <row r="46">
      <c r="A46" s="13">
        <v>1.0</v>
      </c>
      <c r="B46" s="127" t="s">
        <v>28</v>
      </c>
      <c r="C46" s="16">
        <v>66.0</v>
      </c>
      <c r="D46" s="117"/>
      <c r="E46" s="25">
        <v>2.0</v>
      </c>
      <c r="F46" s="25" t="s">
        <v>28</v>
      </c>
      <c r="G46" s="25">
        <v>48.0</v>
      </c>
      <c r="H46" s="125"/>
      <c r="I46" s="117"/>
      <c r="J46" s="126"/>
      <c r="K46" s="117"/>
      <c r="L46" s="117"/>
      <c r="M46" s="117"/>
      <c r="N46" s="119"/>
      <c r="O46" s="119"/>
    </row>
    <row r="47">
      <c r="A47" s="25">
        <v>2.0</v>
      </c>
      <c r="B47" s="127" t="s">
        <v>29</v>
      </c>
      <c r="C47" s="31">
        <v>56.0</v>
      </c>
      <c r="D47" s="117"/>
      <c r="E47" s="13">
        <v>3.0</v>
      </c>
      <c r="F47" s="13" t="s">
        <v>7</v>
      </c>
      <c r="G47" s="13">
        <v>46.0</v>
      </c>
      <c r="H47" s="125"/>
      <c r="I47" s="117"/>
      <c r="J47" s="126"/>
      <c r="K47" s="117"/>
      <c r="L47" s="117"/>
      <c r="M47" s="117"/>
      <c r="N47" s="119"/>
      <c r="O47" s="119"/>
    </row>
    <row r="48">
      <c r="A48" s="13">
        <v>2.0</v>
      </c>
      <c r="B48" s="127" t="s">
        <v>13</v>
      </c>
      <c r="C48" s="16">
        <v>56.0</v>
      </c>
      <c r="D48" s="117"/>
      <c r="E48" s="25">
        <v>4.0</v>
      </c>
      <c r="F48" s="25" t="s">
        <v>4</v>
      </c>
      <c r="G48" s="25">
        <v>46.0</v>
      </c>
      <c r="H48" s="125"/>
      <c r="I48" s="117"/>
      <c r="J48" s="126"/>
      <c r="K48" s="117"/>
      <c r="L48" s="117"/>
      <c r="M48" s="117"/>
      <c r="N48" s="119"/>
      <c r="O48" s="119"/>
    </row>
    <row r="49">
      <c r="A49" s="25">
        <v>4.0</v>
      </c>
      <c r="B49" s="124" t="s">
        <v>6</v>
      </c>
      <c r="C49" s="31">
        <v>38.0</v>
      </c>
      <c r="D49" s="117"/>
      <c r="E49" s="13">
        <v>5.0</v>
      </c>
      <c r="F49" s="13" t="s">
        <v>38</v>
      </c>
      <c r="G49" s="13">
        <v>34.0</v>
      </c>
      <c r="H49" s="125"/>
      <c r="I49" s="117"/>
      <c r="J49" s="126"/>
      <c r="K49" s="117"/>
      <c r="L49" s="117"/>
      <c r="M49" s="117"/>
      <c r="N49" s="119"/>
      <c r="O49" s="119"/>
    </row>
    <row r="50">
      <c r="A50" s="13">
        <v>5.0</v>
      </c>
      <c r="B50" s="127" t="s">
        <v>24</v>
      </c>
      <c r="C50" s="16">
        <v>34.0</v>
      </c>
      <c r="D50" s="117"/>
      <c r="E50" s="117"/>
      <c r="F50" s="117"/>
      <c r="G50" s="117"/>
      <c r="H50" s="125"/>
      <c r="I50" s="117"/>
      <c r="J50" s="126"/>
      <c r="K50" s="117"/>
      <c r="L50" s="117"/>
      <c r="M50" s="117"/>
      <c r="N50" s="119"/>
      <c r="O50" s="119"/>
    </row>
  </sheetData>
  <mergeCells count="30">
    <mergeCell ref="A1:C1"/>
    <mergeCell ref="E1:G1"/>
    <mergeCell ref="I1:K1"/>
    <mergeCell ref="M1:O1"/>
    <mergeCell ref="E2:G2"/>
    <mergeCell ref="I2:K2"/>
    <mergeCell ref="M2:O2"/>
    <mergeCell ref="A2:C2"/>
    <mergeCell ref="A9:C9"/>
    <mergeCell ref="E9:G9"/>
    <mergeCell ref="M9:O9"/>
    <mergeCell ref="I10:K10"/>
    <mergeCell ref="E16:G16"/>
    <mergeCell ref="M16:O16"/>
    <mergeCell ref="A17:C17"/>
    <mergeCell ref="I17:K17"/>
    <mergeCell ref="E23:G23"/>
    <mergeCell ref="M23:O23"/>
    <mergeCell ref="A24:C24"/>
    <mergeCell ref="I24:K24"/>
    <mergeCell ref="M30:O30"/>
    <mergeCell ref="E43:G43"/>
    <mergeCell ref="A44:C44"/>
    <mergeCell ref="E30:G30"/>
    <mergeCell ref="A31:C31"/>
    <mergeCell ref="I31:K31"/>
    <mergeCell ref="E36:G36"/>
    <mergeCell ref="A37:C37"/>
    <mergeCell ref="M37:O37"/>
    <mergeCell ref="I38:K3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13"/>
    <col customWidth="1" min="2" max="2" width="5.5"/>
    <col customWidth="1" min="3" max="3" width="4.25"/>
    <col customWidth="1" min="4" max="4" width="4.5"/>
    <col customWidth="1" hidden="1" min="5" max="5" width="6.13"/>
    <col customWidth="1" min="6" max="6" width="6.25"/>
    <col customWidth="1" min="7" max="8" width="3.25"/>
    <col customWidth="1" min="9" max="14" width="4.75"/>
    <col customWidth="1" min="15" max="16" width="3.88"/>
    <col customWidth="1" min="17" max="18" width="4.63"/>
    <col customWidth="1" min="19" max="20" width="4.88"/>
    <col customWidth="1" min="21" max="22" width="4.63"/>
    <col customWidth="1" min="23" max="24" width="4.5"/>
    <col customWidth="1" hidden="1" min="25" max="30" width="2.63"/>
    <col customWidth="1" min="31" max="32" width="8.88"/>
    <col customWidth="1" min="33" max="33" width="9.75"/>
  </cols>
  <sheetData>
    <row r="1">
      <c r="A1" s="128" t="s">
        <v>151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29"/>
    </row>
    <row r="2" ht="15.75" customHeight="1">
      <c r="A2" s="130" t="s">
        <v>56</v>
      </c>
      <c r="B2" s="130" t="s">
        <v>62</v>
      </c>
      <c r="C2" s="131" t="s">
        <v>34</v>
      </c>
      <c r="D2" s="132"/>
      <c r="E2" s="130"/>
      <c r="F2" s="133" t="s">
        <v>41</v>
      </c>
      <c r="G2" s="131" t="s">
        <v>48</v>
      </c>
      <c r="H2" s="132"/>
      <c r="I2" s="131" t="s">
        <v>49</v>
      </c>
      <c r="J2" s="132"/>
      <c r="K2" s="131" t="s">
        <v>63</v>
      </c>
      <c r="L2" s="132"/>
      <c r="M2" s="131" t="s">
        <v>46</v>
      </c>
      <c r="N2" s="132"/>
      <c r="O2" s="131" t="s">
        <v>64</v>
      </c>
      <c r="P2" s="132"/>
      <c r="Q2" s="131" t="s">
        <v>65</v>
      </c>
      <c r="R2" s="132"/>
      <c r="S2" s="131" t="s">
        <v>66</v>
      </c>
      <c r="T2" s="132"/>
      <c r="U2" s="131" t="s">
        <v>67</v>
      </c>
      <c r="V2" s="132"/>
      <c r="W2" s="131" t="s">
        <v>68</v>
      </c>
      <c r="X2" s="132"/>
      <c r="Y2" s="130"/>
      <c r="Z2" s="130"/>
      <c r="AA2" s="130"/>
      <c r="AB2" s="130"/>
      <c r="AC2" s="130"/>
      <c r="AD2" s="130"/>
      <c r="AE2" s="131" t="s">
        <v>74</v>
      </c>
      <c r="AF2" s="132"/>
      <c r="AG2" s="134" t="s">
        <v>52</v>
      </c>
    </row>
    <row r="3">
      <c r="A3" s="81" t="s">
        <v>51</v>
      </c>
      <c r="B3" s="81">
        <v>11.0</v>
      </c>
      <c r="C3" s="81">
        <v>8.0</v>
      </c>
      <c r="D3" s="81">
        <v>12.0</v>
      </c>
      <c r="E3" s="81"/>
      <c r="F3" s="89">
        <f>PRODUCT(C3,(1/(C3+D3)))</f>
        <v>0.4</v>
      </c>
      <c r="G3" s="81">
        <v>6.0</v>
      </c>
      <c r="H3" s="81"/>
      <c r="I3" s="81">
        <v>0.0</v>
      </c>
      <c r="J3" s="81"/>
      <c r="K3" s="81">
        <v>0.0</v>
      </c>
      <c r="L3" s="81"/>
      <c r="M3" s="81">
        <v>9.0</v>
      </c>
      <c r="N3" s="81"/>
      <c r="O3" s="81">
        <v>8.0</v>
      </c>
      <c r="P3" s="81"/>
      <c r="Q3" s="81">
        <v>4.0</v>
      </c>
      <c r="R3" s="81"/>
      <c r="S3" s="81">
        <v>4.0</v>
      </c>
      <c r="T3" s="81"/>
      <c r="U3" s="81">
        <v>1.0</v>
      </c>
      <c r="V3" s="81"/>
      <c r="W3" s="81"/>
      <c r="X3" s="81"/>
      <c r="Y3" s="81"/>
      <c r="Z3" s="81"/>
      <c r="AA3" s="81"/>
      <c r="AB3" s="81"/>
      <c r="AC3" s="85"/>
      <c r="AD3" s="85"/>
      <c r="AF3" s="81"/>
      <c r="AG3" s="81">
        <v>48.0</v>
      </c>
    </row>
    <row r="4">
      <c r="A4" s="25" t="s">
        <v>58</v>
      </c>
      <c r="B4" s="25">
        <v>12.0</v>
      </c>
      <c r="C4" s="25">
        <v>13.0</v>
      </c>
      <c r="D4" s="25">
        <v>5.0</v>
      </c>
      <c r="E4" s="25">
        <f t="shared" ref="E4:E5" si="4">SUM(C4:D4)</f>
        <v>18</v>
      </c>
      <c r="F4" s="82">
        <f>PRODUCT(C4,(1/E4))</f>
        <v>0.7222222222</v>
      </c>
      <c r="G4" s="25">
        <v>5.0</v>
      </c>
      <c r="H4" s="25">
        <v>5.0</v>
      </c>
      <c r="I4" s="25">
        <v>0.0</v>
      </c>
      <c r="J4" s="25">
        <v>0.0</v>
      </c>
      <c r="K4" s="25">
        <v>0.0</v>
      </c>
      <c r="L4" s="25">
        <v>0.0</v>
      </c>
      <c r="M4" s="25">
        <v>9.0</v>
      </c>
      <c r="N4" s="25">
        <v>7.0</v>
      </c>
      <c r="O4" s="25">
        <v>3.0</v>
      </c>
      <c r="P4" s="25">
        <v>5.0</v>
      </c>
      <c r="Q4" s="25">
        <v>2.0</v>
      </c>
      <c r="R4" s="25">
        <v>2.0</v>
      </c>
      <c r="S4" s="25">
        <v>1.0</v>
      </c>
      <c r="T4" s="25">
        <v>3.0</v>
      </c>
      <c r="U4" s="25">
        <v>2.0</v>
      </c>
      <c r="V4" s="25">
        <v>0.0</v>
      </c>
      <c r="W4" s="25"/>
      <c r="X4" s="25"/>
      <c r="Y4" s="25">
        <f t="shared" ref="Y4:Z4" si="1">PRODUCT(U4,3)</f>
        <v>6</v>
      </c>
      <c r="Z4" s="25">
        <f t="shared" si="1"/>
        <v>0</v>
      </c>
      <c r="AA4" s="25">
        <f t="shared" ref="AA4:AB4" si="2">PRODUCT(S4,2)</f>
        <v>2</v>
      </c>
      <c r="AB4" s="25">
        <f t="shared" si="2"/>
        <v>6</v>
      </c>
      <c r="AC4" s="25"/>
      <c r="AD4" s="25"/>
      <c r="AE4" s="75">
        <v>11.0</v>
      </c>
      <c r="AF4" s="77">
        <f>SUM(Z4,AB4)</f>
        <v>6</v>
      </c>
      <c r="AG4" s="25">
        <v>45.0</v>
      </c>
    </row>
    <row r="5">
      <c r="A5" s="135" t="s">
        <v>152</v>
      </c>
      <c r="B5" s="20"/>
      <c r="C5" s="136">
        <f t="shared" ref="C5:D5" si="3">SUM(C3:C4)</f>
        <v>21</v>
      </c>
      <c r="D5" s="136">
        <f t="shared" si="3"/>
        <v>17</v>
      </c>
      <c r="E5" s="136">
        <f t="shared" si="4"/>
        <v>38</v>
      </c>
      <c r="F5" s="137">
        <f>PRODUCT(C5,(1/(C5+D5)))</f>
        <v>0.5526315789</v>
      </c>
      <c r="G5" s="136">
        <f t="shared" ref="G5:V5" si="5">SUM(G3:G4)</f>
        <v>11</v>
      </c>
      <c r="H5" s="136">
        <f t="shared" si="5"/>
        <v>5</v>
      </c>
      <c r="I5" s="136">
        <f t="shared" si="5"/>
        <v>0</v>
      </c>
      <c r="J5" s="136">
        <f t="shared" si="5"/>
        <v>0</v>
      </c>
      <c r="K5" s="136">
        <f t="shared" si="5"/>
        <v>0</v>
      </c>
      <c r="L5" s="136">
        <f t="shared" si="5"/>
        <v>0</v>
      </c>
      <c r="M5" s="136">
        <f t="shared" si="5"/>
        <v>18</v>
      </c>
      <c r="N5" s="136">
        <f t="shared" si="5"/>
        <v>7</v>
      </c>
      <c r="O5" s="136">
        <f t="shared" si="5"/>
        <v>11</v>
      </c>
      <c r="P5" s="136">
        <f t="shared" si="5"/>
        <v>5</v>
      </c>
      <c r="Q5" s="136">
        <f t="shared" si="5"/>
        <v>6</v>
      </c>
      <c r="R5" s="136">
        <f t="shared" si="5"/>
        <v>2</v>
      </c>
      <c r="S5" s="136">
        <f t="shared" si="5"/>
        <v>5</v>
      </c>
      <c r="T5" s="136">
        <f t="shared" si="5"/>
        <v>3</v>
      </c>
      <c r="U5" s="136">
        <f t="shared" si="5"/>
        <v>3</v>
      </c>
      <c r="V5" s="136">
        <f t="shared" si="5"/>
        <v>0</v>
      </c>
      <c r="W5" s="136"/>
      <c r="X5" s="136"/>
      <c r="Y5" s="136">
        <f t="shared" ref="Y5:AB5" si="6">SUM(Y3:Y4)</f>
        <v>6</v>
      </c>
      <c r="Z5" s="136">
        <f t="shared" si="6"/>
        <v>0</v>
      </c>
      <c r="AA5" s="136">
        <f t="shared" si="6"/>
        <v>2</v>
      </c>
      <c r="AB5" s="136">
        <f t="shared" si="6"/>
        <v>6</v>
      </c>
      <c r="AC5" s="136"/>
      <c r="AD5" s="136"/>
      <c r="AE5" s="136">
        <f>SUM(AE4)</f>
        <v>11</v>
      </c>
      <c r="AF5" s="136">
        <f t="shared" ref="AF5:AG5" si="7">SUM(AF3:AF4)</f>
        <v>6</v>
      </c>
      <c r="AG5" s="136">
        <f t="shared" si="7"/>
        <v>93</v>
      </c>
    </row>
    <row r="6">
      <c r="A6" s="117"/>
      <c r="B6" s="117"/>
      <c r="C6" s="117"/>
      <c r="D6" s="117"/>
      <c r="E6" s="117"/>
      <c r="F6" s="138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39"/>
      <c r="AF6" s="139"/>
      <c r="AG6" s="139"/>
    </row>
    <row r="7">
      <c r="A7" s="140" t="s">
        <v>153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41"/>
    </row>
    <row r="8">
      <c r="A8" s="130" t="s">
        <v>56</v>
      </c>
      <c r="B8" s="130" t="s">
        <v>62</v>
      </c>
      <c r="C8" s="131" t="s">
        <v>34</v>
      </c>
      <c r="D8" s="132"/>
      <c r="E8" s="130"/>
      <c r="F8" s="133" t="s">
        <v>41</v>
      </c>
      <c r="G8" s="131" t="s">
        <v>48</v>
      </c>
      <c r="H8" s="132"/>
      <c r="I8" s="131" t="s">
        <v>49</v>
      </c>
      <c r="J8" s="132"/>
      <c r="K8" s="131" t="s">
        <v>63</v>
      </c>
      <c r="L8" s="132"/>
      <c r="M8" s="131" t="s">
        <v>46</v>
      </c>
      <c r="N8" s="132"/>
      <c r="O8" s="131" t="s">
        <v>64</v>
      </c>
      <c r="P8" s="132"/>
      <c r="Q8" s="131" t="s">
        <v>65</v>
      </c>
      <c r="R8" s="132"/>
      <c r="S8" s="131" t="s">
        <v>66</v>
      </c>
      <c r="T8" s="132"/>
      <c r="U8" s="131" t="s">
        <v>67</v>
      </c>
      <c r="V8" s="132"/>
      <c r="W8" s="131" t="s">
        <v>68</v>
      </c>
      <c r="X8" s="132"/>
      <c r="Y8" s="130"/>
      <c r="Z8" s="130"/>
      <c r="AA8" s="130"/>
      <c r="AB8" s="130"/>
      <c r="AC8" s="130"/>
      <c r="AD8" s="130"/>
      <c r="AE8" s="131" t="s">
        <v>74</v>
      </c>
      <c r="AF8" s="132"/>
      <c r="AG8" s="134" t="s">
        <v>52</v>
      </c>
    </row>
    <row r="9">
      <c r="A9" s="81" t="s">
        <v>143</v>
      </c>
      <c r="B9" s="81">
        <v>9.0</v>
      </c>
      <c r="C9" s="81">
        <v>9.0</v>
      </c>
      <c r="D9" s="81">
        <v>8.0</v>
      </c>
      <c r="E9" s="81"/>
      <c r="F9" s="89">
        <f t="shared" ref="F9:F11" si="8">PRODUCT(C9,(1/(C9+D9)))</f>
        <v>0.5294117647</v>
      </c>
      <c r="G9" s="81">
        <v>7.0</v>
      </c>
      <c r="H9" s="81"/>
      <c r="I9" s="81">
        <v>0.0</v>
      </c>
      <c r="J9" s="81"/>
      <c r="K9" s="81">
        <v>1.0</v>
      </c>
      <c r="L9" s="81"/>
      <c r="M9" s="81">
        <v>15.0</v>
      </c>
      <c r="N9" s="81"/>
      <c r="O9" s="81">
        <v>2.0</v>
      </c>
      <c r="P9" s="81"/>
      <c r="Q9" s="81">
        <v>5.0</v>
      </c>
      <c r="R9" s="81"/>
      <c r="S9" s="81">
        <v>1.0</v>
      </c>
      <c r="T9" s="81"/>
      <c r="U9" s="81">
        <v>6.0</v>
      </c>
      <c r="V9" s="81"/>
      <c r="W9" s="81"/>
      <c r="X9" s="81"/>
      <c r="Y9" s="81"/>
      <c r="Z9" s="81"/>
      <c r="AA9" s="81"/>
      <c r="AB9" s="81"/>
      <c r="AC9" s="81"/>
      <c r="AD9" s="81"/>
      <c r="AE9" s="81">
        <v>21.0</v>
      </c>
      <c r="AF9" s="81"/>
      <c r="AG9" s="81">
        <v>39.0</v>
      </c>
    </row>
    <row r="10">
      <c r="A10" s="75" t="s">
        <v>144</v>
      </c>
      <c r="B10" s="75">
        <v>10.0</v>
      </c>
      <c r="C10" s="75">
        <v>3.0</v>
      </c>
      <c r="D10" s="75">
        <v>2.0</v>
      </c>
      <c r="E10" s="75"/>
      <c r="F10" s="87">
        <f t="shared" si="8"/>
        <v>0.6</v>
      </c>
      <c r="G10" s="75">
        <v>3.0</v>
      </c>
      <c r="H10" s="75"/>
      <c r="I10" s="75">
        <v>0.0</v>
      </c>
      <c r="J10" s="75"/>
      <c r="K10" s="75">
        <v>0.0</v>
      </c>
      <c r="L10" s="75"/>
      <c r="M10" s="75">
        <v>7.0</v>
      </c>
      <c r="N10" s="75"/>
      <c r="O10" s="75">
        <v>1.0</v>
      </c>
      <c r="P10" s="75"/>
      <c r="Q10" s="75">
        <v>1.0</v>
      </c>
      <c r="R10" s="75"/>
      <c r="S10" s="75">
        <v>1.0</v>
      </c>
      <c r="T10" s="75"/>
      <c r="U10" s="75">
        <v>1.0</v>
      </c>
      <c r="V10" s="75"/>
      <c r="W10" s="75"/>
      <c r="X10" s="75"/>
      <c r="Y10" s="75"/>
      <c r="Z10" s="75"/>
      <c r="AA10" s="75"/>
      <c r="AB10" s="75"/>
      <c r="AC10" s="75"/>
      <c r="AD10" s="75"/>
      <c r="AE10" s="75">
        <v>5.0</v>
      </c>
      <c r="AF10" s="75"/>
      <c r="AG10" s="75">
        <v>18.0</v>
      </c>
    </row>
    <row r="11">
      <c r="A11" s="81" t="s">
        <v>51</v>
      </c>
      <c r="B11" s="81">
        <v>11.0</v>
      </c>
      <c r="C11" s="81">
        <v>18.0</v>
      </c>
      <c r="D11" s="81">
        <v>9.0</v>
      </c>
      <c r="E11" s="81"/>
      <c r="F11" s="89">
        <f t="shared" si="8"/>
        <v>0.6666666667</v>
      </c>
      <c r="G11" s="81">
        <v>12.0</v>
      </c>
      <c r="H11" s="81"/>
      <c r="I11" s="81">
        <v>1.0</v>
      </c>
      <c r="J11" s="81"/>
      <c r="K11" s="81">
        <v>1.0</v>
      </c>
      <c r="L11" s="81"/>
      <c r="M11" s="81">
        <v>30.0</v>
      </c>
      <c r="N11" s="81"/>
      <c r="O11" s="81">
        <v>5.0</v>
      </c>
      <c r="P11" s="81"/>
      <c r="Q11" s="81">
        <v>13.0</v>
      </c>
      <c r="R11" s="81"/>
      <c r="S11" s="81">
        <v>6.0</v>
      </c>
      <c r="T11" s="81"/>
      <c r="U11" s="81">
        <v>8.0</v>
      </c>
      <c r="V11" s="81"/>
      <c r="W11" s="81"/>
      <c r="X11" s="81"/>
      <c r="Y11" s="81"/>
      <c r="Z11" s="81"/>
      <c r="AA11" s="81"/>
      <c r="AB11" s="81"/>
      <c r="AC11" s="81"/>
      <c r="AD11" s="81"/>
      <c r="AE11" s="81">
        <v>36.0</v>
      </c>
      <c r="AF11" s="81"/>
      <c r="AG11" s="81">
        <v>96.0</v>
      </c>
    </row>
    <row r="12">
      <c r="A12" s="25" t="s">
        <v>58</v>
      </c>
      <c r="B12" s="25">
        <v>12.0</v>
      </c>
      <c r="C12" s="25">
        <v>35.0</v>
      </c>
      <c r="D12" s="25">
        <v>6.0</v>
      </c>
      <c r="E12" s="25">
        <f t="shared" ref="E12:E13" si="13">SUM(C12:D12)</f>
        <v>41</v>
      </c>
      <c r="F12" s="82">
        <f t="shared" ref="F12:F13" si="14">PRODUCT(C12,(1/E12))</f>
        <v>0.8536585366</v>
      </c>
      <c r="G12" s="25">
        <v>24.0</v>
      </c>
      <c r="H12" s="25">
        <v>4.0</v>
      </c>
      <c r="I12" s="25">
        <v>0.0</v>
      </c>
      <c r="J12" s="25">
        <v>0.0</v>
      </c>
      <c r="K12" s="25">
        <v>4.0</v>
      </c>
      <c r="L12" s="25">
        <v>0.0</v>
      </c>
      <c r="M12" s="25">
        <v>44.0</v>
      </c>
      <c r="N12" s="25">
        <v>9.0</v>
      </c>
      <c r="O12" s="25">
        <v>6.0</v>
      </c>
      <c r="P12" s="25">
        <v>12.0</v>
      </c>
      <c r="Q12" s="25">
        <v>11.0</v>
      </c>
      <c r="R12" s="25">
        <v>3.0</v>
      </c>
      <c r="S12" s="25">
        <v>8.0</v>
      </c>
      <c r="T12" s="25">
        <v>0.0</v>
      </c>
      <c r="U12" s="25">
        <v>11.0</v>
      </c>
      <c r="V12" s="25">
        <v>4.0</v>
      </c>
      <c r="W12" s="25"/>
      <c r="X12" s="25"/>
      <c r="Y12" s="25">
        <f t="shared" ref="Y12:Z12" si="9">PRODUCT(U12,3)</f>
        <v>33</v>
      </c>
      <c r="Z12" s="25">
        <f t="shared" si="9"/>
        <v>12</v>
      </c>
      <c r="AA12" s="25">
        <f t="shared" ref="AA12:AB12" si="10">PRODUCT(S12,2)</f>
        <v>16</v>
      </c>
      <c r="AB12" s="25">
        <f t="shared" si="10"/>
        <v>0</v>
      </c>
      <c r="AC12" s="25"/>
      <c r="AD12" s="25"/>
      <c r="AE12" s="77">
        <f t="shared" ref="AE12:AF12" si="11">SUM(Y12,AA12)</f>
        <v>49</v>
      </c>
      <c r="AF12" s="77">
        <f t="shared" si="11"/>
        <v>12</v>
      </c>
      <c r="AG12" s="25">
        <v>197.0</v>
      </c>
    </row>
    <row r="13">
      <c r="A13" s="135" t="s">
        <v>152</v>
      </c>
      <c r="B13" s="20"/>
      <c r="C13" s="136">
        <f t="shared" ref="C13:D13" si="12">SUM(C9:C12)</f>
        <v>65</v>
      </c>
      <c r="D13" s="136">
        <f t="shared" si="12"/>
        <v>25</v>
      </c>
      <c r="E13" s="136">
        <f t="shared" si="13"/>
        <v>90</v>
      </c>
      <c r="F13" s="142">
        <f t="shared" si="14"/>
        <v>0.7222222222</v>
      </c>
      <c r="G13" s="136">
        <f t="shared" ref="G13:V13" si="15">SUM(G9:G12)</f>
        <v>46</v>
      </c>
      <c r="H13" s="136">
        <f t="shared" si="15"/>
        <v>4</v>
      </c>
      <c r="I13" s="136">
        <f t="shared" si="15"/>
        <v>1</v>
      </c>
      <c r="J13" s="136">
        <f t="shared" si="15"/>
        <v>0</v>
      </c>
      <c r="K13" s="136">
        <f t="shared" si="15"/>
        <v>6</v>
      </c>
      <c r="L13" s="136">
        <f t="shared" si="15"/>
        <v>0</v>
      </c>
      <c r="M13" s="136">
        <f t="shared" si="15"/>
        <v>96</v>
      </c>
      <c r="N13" s="136">
        <f t="shared" si="15"/>
        <v>9</v>
      </c>
      <c r="O13" s="136">
        <f t="shared" si="15"/>
        <v>14</v>
      </c>
      <c r="P13" s="136">
        <f t="shared" si="15"/>
        <v>12</v>
      </c>
      <c r="Q13" s="136">
        <f t="shared" si="15"/>
        <v>30</v>
      </c>
      <c r="R13" s="136">
        <f t="shared" si="15"/>
        <v>3</v>
      </c>
      <c r="S13" s="136">
        <f t="shared" si="15"/>
        <v>16</v>
      </c>
      <c r="T13" s="136">
        <f t="shared" si="15"/>
        <v>0</v>
      </c>
      <c r="U13" s="136">
        <f t="shared" si="15"/>
        <v>26</v>
      </c>
      <c r="V13" s="136">
        <f t="shared" si="15"/>
        <v>4</v>
      </c>
      <c r="W13" s="136"/>
      <c r="X13" s="136"/>
      <c r="Y13" s="136">
        <f t="shared" ref="Y13:AB13" si="16">SUM(Y9:Y12)</f>
        <v>33</v>
      </c>
      <c r="Z13" s="136">
        <f t="shared" si="16"/>
        <v>12</v>
      </c>
      <c r="AA13" s="136">
        <f t="shared" si="16"/>
        <v>16</v>
      </c>
      <c r="AB13" s="136">
        <f t="shared" si="16"/>
        <v>0</v>
      </c>
      <c r="AC13" s="136"/>
      <c r="AD13" s="136"/>
      <c r="AE13" s="136">
        <f t="shared" ref="AE13:AG13" si="17">SUM(AE9:AE12)</f>
        <v>111</v>
      </c>
      <c r="AF13" s="136">
        <f t="shared" si="17"/>
        <v>12</v>
      </c>
      <c r="AG13" s="136">
        <f t="shared" si="17"/>
        <v>350</v>
      </c>
    </row>
    <row r="14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</row>
    <row r="15">
      <c r="A15" s="144" t="s">
        <v>154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45"/>
    </row>
    <row r="16">
      <c r="A16" s="146" t="s">
        <v>56</v>
      </c>
      <c r="B16" s="147" t="s">
        <v>62</v>
      </c>
      <c r="C16" s="148" t="s">
        <v>34</v>
      </c>
      <c r="D16" s="132"/>
      <c r="E16" s="149"/>
      <c r="F16" s="150" t="s">
        <v>41</v>
      </c>
      <c r="G16" s="148" t="s">
        <v>48</v>
      </c>
      <c r="H16" s="132"/>
      <c r="I16" s="148" t="s">
        <v>49</v>
      </c>
      <c r="J16" s="132"/>
      <c r="K16" s="148" t="s">
        <v>63</v>
      </c>
      <c r="L16" s="132"/>
      <c r="M16" s="148" t="s">
        <v>46</v>
      </c>
      <c r="N16" s="132"/>
      <c r="O16" s="148" t="s">
        <v>64</v>
      </c>
      <c r="P16" s="132"/>
      <c r="Q16" s="148" t="s">
        <v>65</v>
      </c>
      <c r="R16" s="132"/>
      <c r="S16" s="148" t="s">
        <v>66</v>
      </c>
      <c r="T16" s="132"/>
      <c r="U16" s="148" t="s">
        <v>67</v>
      </c>
      <c r="V16" s="132"/>
      <c r="W16" s="131" t="s">
        <v>68</v>
      </c>
      <c r="X16" s="132"/>
      <c r="Y16" s="149"/>
      <c r="Z16" s="149"/>
      <c r="AA16" s="149"/>
      <c r="AB16" s="149"/>
      <c r="AC16" s="149"/>
      <c r="AD16" s="149"/>
      <c r="AE16" s="151" t="s">
        <v>74</v>
      </c>
      <c r="AF16" s="132"/>
      <c r="AG16" s="152" t="s">
        <v>52</v>
      </c>
    </row>
    <row r="17">
      <c r="A17" s="81" t="s">
        <v>51</v>
      </c>
      <c r="B17" s="81">
        <v>11.0</v>
      </c>
      <c r="C17" s="81">
        <v>1.0</v>
      </c>
      <c r="D17" s="81">
        <v>7.0</v>
      </c>
      <c r="E17" s="81"/>
      <c r="F17" s="89">
        <f>PRODUCT(C17,(1/(C17+D17)))</f>
        <v>0.125</v>
      </c>
      <c r="G17" s="81">
        <v>1.0</v>
      </c>
      <c r="H17" s="81"/>
      <c r="I17" s="81">
        <v>0.0</v>
      </c>
      <c r="J17" s="81"/>
      <c r="K17" s="81">
        <v>0.0</v>
      </c>
      <c r="L17" s="81"/>
      <c r="M17" s="81">
        <v>4.0</v>
      </c>
      <c r="N17" s="81"/>
      <c r="O17" s="81">
        <v>3.0</v>
      </c>
      <c r="P17" s="81"/>
      <c r="Q17" s="81">
        <v>6.0</v>
      </c>
      <c r="R17" s="81"/>
      <c r="S17" s="81">
        <v>2.0</v>
      </c>
      <c r="T17" s="81"/>
      <c r="U17" s="81">
        <v>1.0</v>
      </c>
      <c r="V17" s="81"/>
      <c r="W17" s="81"/>
      <c r="X17" s="81"/>
      <c r="Y17" s="81"/>
      <c r="Z17" s="81"/>
      <c r="AA17" s="81"/>
      <c r="AB17" s="81"/>
      <c r="AC17" s="81"/>
      <c r="AD17" s="81"/>
      <c r="AE17" s="81">
        <v>7.0</v>
      </c>
      <c r="AF17" s="81"/>
      <c r="AG17" s="81">
        <v>6.0</v>
      </c>
    </row>
    <row r="18">
      <c r="A18" s="25" t="s">
        <v>58</v>
      </c>
      <c r="B18" s="25">
        <v>12.0</v>
      </c>
      <c r="C18" s="25">
        <v>8.0</v>
      </c>
      <c r="D18" s="25">
        <v>10.0</v>
      </c>
      <c r="E18" s="25">
        <f>SUM(C18:D18)</f>
        <v>18</v>
      </c>
      <c r="F18" s="82">
        <f>PRODUCT(C18,(1/E18))</f>
        <v>0.4444444444</v>
      </c>
      <c r="G18" s="25">
        <v>3.0</v>
      </c>
      <c r="H18" s="25">
        <v>8.0</v>
      </c>
      <c r="I18" s="25">
        <v>0.0</v>
      </c>
      <c r="J18" s="25">
        <v>0.0</v>
      </c>
      <c r="K18" s="25">
        <v>0.0</v>
      </c>
      <c r="L18" s="25">
        <v>2.0</v>
      </c>
      <c r="M18" s="25">
        <v>10.0</v>
      </c>
      <c r="N18" s="25">
        <v>17.0</v>
      </c>
      <c r="O18" s="25">
        <v>9.0</v>
      </c>
      <c r="P18" s="25">
        <v>4.0</v>
      </c>
      <c r="Q18" s="25">
        <v>2.0</v>
      </c>
      <c r="R18" s="25">
        <v>5.0</v>
      </c>
      <c r="S18" s="25">
        <v>1.0</v>
      </c>
      <c r="T18" s="25">
        <v>7.0</v>
      </c>
      <c r="U18" s="25">
        <v>3.0</v>
      </c>
      <c r="V18" s="25">
        <v>5.0</v>
      </c>
      <c r="W18" s="25"/>
      <c r="X18" s="25"/>
      <c r="Y18" s="25">
        <f t="shared" ref="Y18:Z18" si="18">PRODUCT(U18,3)</f>
        <v>9</v>
      </c>
      <c r="Z18" s="25">
        <f t="shared" si="18"/>
        <v>15</v>
      </c>
      <c r="AA18" s="25">
        <f t="shared" ref="AA18:AB18" si="19">PRODUCT(S18,2)</f>
        <v>2</v>
      </c>
      <c r="AB18" s="25">
        <f t="shared" si="19"/>
        <v>14</v>
      </c>
      <c r="AC18" s="25"/>
      <c r="AD18" s="25"/>
      <c r="AE18" s="77">
        <f t="shared" ref="AE18:AF18" si="20">SUM(Y18,AA18)</f>
        <v>11</v>
      </c>
      <c r="AF18" s="77">
        <f t="shared" si="20"/>
        <v>29</v>
      </c>
      <c r="AG18" s="25">
        <v>18.0</v>
      </c>
    </row>
    <row r="19">
      <c r="A19" s="135" t="s">
        <v>152</v>
      </c>
      <c r="B19" s="20"/>
      <c r="C19" s="136">
        <f t="shared" ref="C19:E19" si="21">SUM(C17:C18)</f>
        <v>9</v>
      </c>
      <c r="D19" s="136">
        <f t="shared" si="21"/>
        <v>17</v>
      </c>
      <c r="E19" s="136">
        <f t="shared" si="21"/>
        <v>18</v>
      </c>
      <c r="F19" s="137">
        <f>PRODUCT(C19,(1/(C19+D19)))</f>
        <v>0.3461538462</v>
      </c>
      <c r="G19" s="136">
        <f t="shared" ref="G19:V19" si="22">SUM(G17:G18)</f>
        <v>4</v>
      </c>
      <c r="H19" s="136">
        <f t="shared" si="22"/>
        <v>8</v>
      </c>
      <c r="I19" s="136">
        <f t="shared" si="22"/>
        <v>0</v>
      </c>
      <c r="J19" s="136">
        <f t="shared" si="22"/>
        <v>0</v>
      </c>
      <c r="K19" s="136">
        <f t="shared" si="22"/>
        <v>0</v>
      </c>
      <c r="L19" s="136">
        <f t="shared" si="22"/>
        <v>2</v>
      </c>
      <c r="M19" s="136">
        <f t="shared" si="22"/>
        <v>14</v>
      </c>
      <c r="N19" s="136">
        <f t="shared" si="22"/>
        <v>17</v>
      </c>
      <c r="O19" s="136">
        <f t="shared" si="22"/>
        <v>12</v>
      </c>
      <c r="P19" s="136">
        <f t="shared" si="22"/>
        <v>4</v>
      </c>
      <c r="Q19" s="136">
        <f t="shared" si="22"/>
        <v>8</v>
      </c>
      <c r="R19" s="136">
        <f t="shared" si="22"/>
        <v>5</v>
      </c>
      <c r="S19" s="136">
        <f t="shared" si="22"/>
        <v>3</v>
      </c>
      <c r="T19" s="136">
        <f t="shared" si="22"/>
        <v>7</v>
      </c>
      <c r="U19" s="136">
        <f t="shared" si="22"/>
        <v>4</v>
      </c>
      <c r="V19" s="136">
        <f t="shared" si="22"/>
        <v>5</v>
      </c>
      <c r="W19" s="136"/>
      <c r="X19" s="136"/>
      <c r="Y19" s="136">
        <f t="shared" ref="Y19:AB19" si="23">SUM(Y17:Y18)</f>
        <v>9</v>
      </c>
      <c r="Z19" s="136">
        <f t="shared" si="23"/>
        <v>15</v>
      </c>
      <c r="AA19" s="136">
        <f t="shared" si="23"/>
        <v>2</v>
      </c>
      <c r="AB19" s="136">
        <f t="shared" si="23"/>
        <v>14</v>
      </c>
      <c r="AC19" s="136"/>
      <c r="AD19" s="136"/>
      <c r="AE19" s="136">
        <f t="shared" ref="AE19:AG19" si="24">SUM(AE17:AE18)</f>
        <v>18</v>
      </c>
      <c r="AF19" s="136">
        <f t="shared" si="24"/>
        <v>29</v>
      </c>
      <c r="AG19" s="136">
        <f t="shared" si="24"/>
        <v>24</v>
      </c>
    </row>
    <row r="20">
      <c r="A20" s="117"/>
      <c r="B20" s="117"/>
      <c r="C20" s="117"/>
      <c r="D20" s="117"/>
      <c r="E20" s="117"/>
      <c r="F20" s="138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39"/>
      <c r="AF20" s="139"/>
      <c r="AG20" s="139"/>
    </row>
    <row r="21">
      <c r="A21" s="140" t="s">
        <v>155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41"/>
    </row>
    <row r="22">
      <c r="A22" s="146" t="s">
        <v>56</v>
      </c>
      <c r="B22" s="147" t="s">
        <v>62</v>
      </c>
      <c r="C22" s="148" t="s">
        <v>34</v>
      </c>
      <c r="D22" s="132"/>
      <c r="E22" s="153"/>
      <c r="F22" s="150" t="s">
        <v>41</v>
      </c>
      <c r="G22" s="148" t="s">
        <v>48</v>
      </c>
      <c r="H22" s="132"/>
      <c r="I22" s="148" t="s">
        <v>49</v>
      </c>
      <c r="J22" s="132"/>
      <c r="K22" s="148" t="s">
        <v>63</v>
      </c>
      <c r="L22" s="132"/>
      <c r="M22" s="148" t="s">
        <v>46</v>
      </c>
      <c r="N22" s="132"/>
      <c r="O22" s="148" t="s">
        <v>64</v>
      </c>
      <c r="P22" s="132"/>
      <c r="Q22" s="148" t="s">
        <v>65</v>
      </c>
      <c r="R22" s="132"/>
      <c r="S22" s="148" t="s">
        <v>66</v>
      </c>
      <c r="T22" s="132"/>
      <c r="U22" s="148" t="s">
        <v>67</v>
      </c>
      <c r="V22" s="132"/>
      <c r="W22" s="131" t="s">
        <v>68</v>
      </c>
      <c r="X22" s="132"/>
      <c r="Y22" s="153"/>
      <c r="Z22" s="153"/>
      <c r="AA22" s="153"/>
      <c r="AB22" s="153"/>
      <c r="AC22" s="153"/>
      <c r="AD22" s="153"/>
      <c r="AE22" s="151" t="s">
        <v>74</v>
      </c>
      <c r="AF22" s="132"/>
      <c r="AG22" s="152" t="s">
        <v>52</v>
      </c>
    </row>
    <row r="23">
      <c r="A23" s="81" t="s">
        <v>143</v>
      </c>
      <c r="B23" s="81">
        <v>9.0</v>
      </c>
      <c r="C23" s="81">
        <v>3.0</v>
      </c>
      <c r="D23" s="81">
        <v>4.0</v>
      </c>
      <c r="E23" s="81"/>
      <c r="F23" s="89">
        <f t="shared" ref="F23:F25" si="25">PRODUCT(C23,(1/(C23+D23)))</f>
        <v>0.4285714286</v>
      </c>
      <c r="G23" s="81">
        <v>3.0</v>
      </c>
      <c r="H23" s="81"/>
      <c r="I23" s="81">
        <v>0.0</v>
      </c>
      <c r="J23" s="81"/>
      <c r="K23" s="81">
        <v>0.0</v>
      </c>
      <c r="L23" s="81"/>
      <c r="M23" s="81">
        <v>7.0</v>
      </c>
      <c r="N23" s="81"/>
      <c r="O23" s="81">
        <v>4.0</v>
      </c>
      <c r="P23" s="81"/>
      <c r="Q23" s="81">
        <v>0.0</v>
      </c>
      <c r="R23" s="81"/>
      <c r="S23" s="81">
        <v>0.0</v>
      </c>
      <c r="T23" s="81"/>
      <c r="U23" s="81">
        <v>0.0</v>
      </c>
      <c r="V23" s="81"/>
      <c r="W23" s="81"/>
      <c r="X23" s="81"/>
      <c r="Y23" s="81"/>
      <c r="Z23" s="81"/>
      <c r="AA23" s="81"/>
      <c r="AB23" s="81"/>
      <c r="AC23" s="81"/>
      <c r="AD23" s="81"/>
      <c r="AE23" s="81">
        <v>0.0</v>
      </c>
      <c r="AF23" s="81"/>
      <c r="AG23" s="81">
        <v>18.0</v>
      </c>
    </row>
    <row r="24">
      <c r="A24" s="75" t="s">
        <v>144</v>
      </c>
      <c r="B24" s="75">
        <v>10.0</v>
      </c>
      <c r="C24" s="75">
        <v>0.0</v>
      </c>
      <c r="D24" s="75">
        <v>1.0</v>
      </c>
      <c r="E24" s="75"/>
      <c r="F24" s="87">
        <f t="shared" si="25"/>
        <v>0</v>
      </c>
      <c r="G24" s="75">
        <v>0.0</v>
      </c>
      <c r="H24" s="75"/>
      <c r="I24" s="75">
        <v>0.0</v>
      </c>
      <c r="J24" s="75"/>
      <c r="K24" s="75">
        <v>0.0</v>
      </c>
      <c r="L24" s="75"/>
      <c r="M24" s="75">
        <v>0.0</v>
      </c>
      <c r="N24" s="75"/>
      <c r="O24" s="75">
        <v>0.0</v>
      </c>
      <c r="P24" s="75"/>
      <c r="Q24" s="75">
        <v>1.0</v>
      </c>
      <c r="R24" s="75"/>
      <c r="S24" s="75">
        <v>0.0</v>
      </c>
      <c r="T24" s="75"/>
      <c r="U24" s="75">
        <v>0.0</v>
      </c>
      <c r="V24" s="75"/>
      <c r="W24" s="75"/>
      <c r="X24" s="75"/>
      <c r="Y24" s="75"/>
      <c r="Z24" s="75"/>
      <c r="AA24" s="75"/>
      <c r="AB24" s="75"/>
      <c r="AC24" s="75"/>
      <c r="AD24" s="75"/>
      <c r="AE24" s="75">
        <v>0.0</v>
      </c>
      <c r="AF24" s="75"/>
      <c r="AG24" s="75">
        <v>0.0</v>
      </c>
    </row>
    <row r="25">
      <c r="A25" s="81" t="s">
        <v>51</v>
      </c>
      <c r="B25" s="81">
        <v>11.0</v>
      </c>
      <c r="C25" s="81">
        <v>17.0</v>
      </c>
      <c r="D25" s="81">
        <v>8.0</v>
      </c>
      <c r="E25" s="81"/>
      <c r="F25" s="89">
        <f t="shared" si="25"/>
        <v>0.68</v>
      </c>
      <c r="G25" s="81">
        <v>14.0</v>
      </c>
      <c r="H25" s="81"/>
      <c r="I25" s="81">
        <v>0.0</v>
      </c>
      <c r="J25" s="81"/>
      <c r="K25" s="81">
        <v>0.0</v>
      </c>
      <c r="L25" s="81"/>
      <c r="M25" s="81">
        <v>23.0</v>
      </c>
      <c r="N25" s="81"/>
      <c r="O25" s="81">
        <v>4.0</v>
      </c>
      <c r="P25" s="81"/>
      <c r="Q25" s="81">
        <v>1.0</v>
      </c>
      <c r="R25" s="81"/>
      <c r="S25" s="81">
        <v>1.0</v>
      </c>
      <c r="T25" s="81"/>
      <c r="U25" s="81">
        <v>1.0</v>
      </c>
      <c r="V25" s="81"/>
      <c r="W25" s="81"/>
      <c r="X25" s="81"/>
      <c r="Y25" s="81"/>
      <c r="Z25" s="81"/>
      <c r="AA25" s="81"/>
      <c r="AB25" s="81"/>
      <c r="AC25" s="81"/>
      <c r="AD25" s="81"/>
      <c r="AE25" s="81">
        <v>5.0</v>
      </c>
      <c r="AF25" s="81"/>
      <c r="AG25" s="81">
        <v>99.0</v>
      </c>
    </row>
    <row r="26">
      <c r="A26" s="25" t="s">
        <v>58</v>
      </c>
      <c r="B26" s="25">
        <v>12.0</v>
      </c>
      <c r="C26" s="25">
        <v>34.0</v>
      </c>
      <c r="D26" s="25">
        <v>8.0</v>
      </c>
      <c r="E26" s="25">
        <f>SUM(C26:D26)</f>
        <v>42</v>
      </c>
      <c r="F26" s="82">
        <f>PRODUCT(C26,(1/E26))</f>
        <v>0.8095238095</v>
      </c>
      <c r="G26" s="25">
        <v>24.0</v>
      </c>
      <c r="H26" s="25">
        <v>4.0</v>
      </c>
      <c r="I26" s="25">
        <v>0.0</v>
      </c>
      <c r="J26" s="25">
        <v>0.0</v>
      </c>
      <c r="K26" s="25">
        <v>1.0</v>
      </c>
      <c r="L26" s="25">
        <v>2.0</v>
      </c>
      <c r="M26" s="25">
        <v>29.0</v>
      </c>
      <c r="N26" s="25">
        <v>25.0</v>
      </c>
      <c r="O26" s="25">
        <v>12.0</v>
      </c>
      <c r="P26" s="25">
        <v>6.0</v>
      </c>
      <c r="Q26" s="25">
        <v>4.0</v>
      </c>
      <c r="R26" s="25">
        <v>5.0</v>
      </c>
      <c r="S26" s="25">
        <v>3.0</v>
      </c>
      <c r="T26" s="25">
        <v>2.0</v>
      </c>
      <c r="U26" s="25">
        <v>5.0</v>
      </c>
      <c r="V26" s="25">
        <v>2.0</v>
      </c>
      <c r="W26" s="25"/>
      <c r="X26" s="25"/>
      <c r="Y26" s="25">
        <f t="shared" ref="Y26:Z26" si="26">PRODUCT(U26,3)</f>
        <v>15</v>
      </c>
      <c r="Z26" s="25">
        <f t="shared" si="26"/>
        <v>6</v>
      </c>
      <c r="AA26" s="25">
        <f t="shared" ref="AA26:AB26" si="27">PRODUCT(S26,2)</f>
        <v>6</v>
      </c>
      <c r="AB26" s="25">
        <f t="shared" si="27"/>
        <v>4</v>
      </c>
      <c r="AC26" s="25"/>
      <c r="AD26" s="25"/>
      <c r="AE26" s="77">
        <f t="shared" ref="AE26:AF26" si="28">SUM(Y26,AA26)</f>
        <v>21</v>
      </c>
      <c r="AF26" s="77">
        <f t="shared" si="28"/>
        <v>10</v>
      </c>
      <c r="AG26" s="25">
        <v>148.0</v>
      </c>
    </row>
    <row r="27">
      <c r="A27" s="135" t="s">
        <v>152</v>
      </c>
      <c r="B27" s="20"/>
      <c r="C27" s="136">
        <f t="shared" ref="C27:E27" si="29">SUM(C23:C26)</f>
        <v>54</v>
      </c>
      <c r="D27" s="136">
        <f t="shared" si="29"/>
        <v>21</v>
      </c>
      <c r="E27" s="136">
        <f t="shared" si="29"/>
        <v>42</v>
      </c>
      <c r="F27" s="137">
        <f>PRODUCT(C27,(1/(C27+D27)))</f>
        <v>0.72</v>
      </c>
      <c r="G27" s="136">
        <f t="shared" ref="G27:V27" si="30">SUM(G23:G26)</f>
        <v>41</v>
      </c>
      <c r="H27" s="136">
        <f t="shared" si="30"/>
        <v>4</v>
      </c>
      <c r="I27" s="136">
        <f t="shared" si="30"/>
        <v>0</v>
      </c>
      <c r="J27" s="136">
        <f t="shared" si="30"/>
        <v>0</v>
      </c>
      <c r="K27" s="136">
        <f t="shared" si="30"/>
        <v>1</v>
      </c>
      <c r="L27" s="136">
        <f t="shared" si="30"/>
        <v>2</v>
      </c>
      <c r="M27" s="136">
        <f t="shared" si="30"/>
        <v>59</v>
      </c>
      <c r="N27" s="136">
        <f t="shared" si="30"/>
        <v>25</v>
      </c>
      <c r="O27" s="136">
        <f t="shared" si="30"/>
        <v>20</v>
      </c>
      <c r="P27" s="136">
        <f t="shared" si="30"/>
        <v>6</v>
      </c>
      <c r="Q27" s="136">
        <f t="shared" si="30"/>
        <v>6</v>
      </c>
      <c r="R27" s="136">
        <f t="shared" si="30"/>
        <v>5</v>
      </c>
      <c r="S27" s="136">
        <f t="shared" si="30"/>
        <v>4</v>
      </c>
      <c r="T27" s="136">
        <f t="shared" si="30"/>
        <v>2</v>
      </c>
      <c r="U27" s="136">
        <f t="shared" si="30"/>
        <v>6</v>
      </c>
      <c r="V27" s="136">
        <f t="shared" si="30"/>
        <v>2</v>
      </c>
      <c r="W27" s="136"/>
      <c r="X27" s="136"/>
      <c r="Y27" s="136">
        <f t="shared" ref="Y27:AB27" si="31">SUM(Y23:Y26)</f>
        <v>15</v>
      </c>
      <c r="Z27" s="136">
        <f t="shared" si="31"/>
        <v>6</v>
      </c>
      <c r="AA27" s="136">
        <f t="shared" si="31"/>
        <v>6</v>
      </c>
      <c r="AB27" s="136">
        <f t="shared" si="31"/>
        <v>4</v>
      </c>
      <c r="AC27" s="136"/>
      <c r="AD27" s="136"/>
      <c r="AE27" s="136">
        <f t="shared" ref="AE27:AG27" si="32">SUM(AE23:AE26)</f>
        <v>26</v>
      </c>
      <c r="AF27" s="136">
        <f t="shared" si="32"/>
        <v>10</v>
      </c>
      <c r="AG27" s="136">
        <f t="shared" si="32"/>
        <v>265</v>
      </c>
    </row>
    <row r="28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</row>
    <row r="29">
      <c r="A29" s="144" t="s">
        <v>156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45"/>
    </row>
    <row r="30">
      <c r="A30" s="146" t="s">
        <v>56</v>
      </c>
      <c r="B30" s="147" t="s">
        <v>62</v>
      </c>
      <c r="C30" s="148" t="s">
        <v>34</v>
      </c>
      <c r="D30" s="132"/>
      <c r="E30" s="149"/>
      <c r="F30" s="150" t="s">
        <v>41</v>
      </c>
      <c r="G30" s="148" t="s">
        <v>48</v>
      </c>
      <c r="H30" s="132"/>
      <c r="I30" s="148" t="s">
        <v>49</v>
      </c>
      <c r="J30" s="132"/>
      <c r="K30" s="148" t="s">
        <v>63</v>
      </c>
      <c r="L30" s="132"/>
      <c r="M30" s="148" t="s">
        <v>46</v>
      </c>
      <c r="N30" s="132"/>
      <c r="O30" s="148" t="s">
        <v>64</v>
      </c>
      <c r="P30" s="132"/>
      <c r="Q30" s="148" t="s">
        <v>65</v>
      </c>
      <c r="R30" s="132"/>
      <c r="S30" s="148" t="s">
        <v>66</v>
      </c>
      <c r="T30" s="132"/>
      <c r="U30" s="148" t="s">
        <v>67</v>
      </c>
      <c r="V30" s="132"/>
      <c r="W30" s="131" t="s">
        <v>68</v>
      </c>
      <c r="X30" s="132"/>
      <c r="Y30" s="149"/>
      <c r="Z30" s="149"/>
      <c r="AA30" s="149"/>
      <c r="AB30" s="149"/>
      <c r="AC30" s="149"/>
      <c r="AD30" s="149"/>
      <c r="AE30" s="151" t="s">
        <v>74</v>
      </c>
      <c r="AF30" s="132"/>
      <c r="AG30" s="147" t="s">
        <v>52</v>
      </c>
    </row>
    <row r="31">
      <c r="A31" s="134" t="s">
        <v>59</v>
      </c>
      <c r="B31" s="11">
        <v>12.0</v>
      </c>
      <c r="C31" s="11">
        <v>8.0</v>
      </c>
      <c r="D31" s="11">
        <v>12.0</v>
      </c>
      <c r="E31" s="11">
        <f>SUM(C31:D31)</f>
        <v>20</v>
      </c>
      <c r="F31" s="154">
        <f>PRODUCT(C31, (1/E31))</f>
        <v>0.4</v>
      </c>
      <c r="G31" s="11">
        <v>4.0</v>
      </c>
      <c r="H31" s="11">
        <v>11.0</v>
      </c>
      <c r="I31" s="11">
        <v>0.0</v>
      </c>
      <c r="J31" s="11">
        <v>1.0</v>
      </c>
      <c r="K31" s="11">
        <v>0.0</v>
      </c>
      <c r="L31" s="11">
        <v>0.0</v>
      </c>
      <c r="M31" s="11">
        <v>12.0</v>
      </c>
      <c r="N31" s="11">
        <v>19.0</v>
      </c>
      <c r="O31" s="11">
        <v>7.0</v>
      </c>
      <c r="P31" s="11">
        <v>5.0</v>
      </c>
      <c r="Q31" s="11">
        <v>2.0</v>
      </c>
      <c r="R31" s="11">
        <v>3.0</v>
      </c>
      <c r="S31" s="11">
        <v>0.0</v>
      </c>
      <c r="T31" s="11">
        <v>6.0</v>
      </c>
      <c r="U31" s="11">
        <v>3.0</v>
      </c>
      <c r="V31" s="11">
        <v>0.0</v>
      </c>
      <c r="W31" s="11"/>
      <c r="X31" s="11"/>
      <c r="Y31" s="11">
        <f>PRODUCT(U31,3)</f>
        <v>9</v>
      </c>
      <c r="Z31" s="11">
        <f>PRODUCT(S31,2)</f>
        <v>0</v>
      </c>
      <c r="AA31" s="11">
        <f>PRODUCT(V31,3)</f>
        <v>0</v>
      </c>
      <c r="AB31" s="11">
        <f>PRODUCT(T31,2)</f>
        <v>12</v>
      </c>
      <c r="AC31" s="11"/>
      <c r="AD31" s="11"/>
      <c r="AE31" s="11">
        <f>SUM(Y31:Z31)</f>
        <v>9</v>
      </c>
      <c r="AF31" s="11">
        <f>SUM(AA31:AB31)</f>
        <v>12</v>
      </c>
      <c r="AG31" s="11">
        <v>42.0</v>
      </c>
    </row>
    <row r="33">
      <c r="A33" s="144" t="s">
        <v>157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45"/>
    </row>
    <row r="34">
      <c r="A34" s="146" t="s">
        <v>56</v>
      </c>
      <c r="B34" s="146" t="s">
        <v>62</v>
      </c>
      <c r="C34" s="155" t="s">
        <v>34</v>
      </c>
      <c r="D34" s="132"/>
      <c r="E34" s="156"/>
      <c r="F34" s="157" t="s">
        <v>41</v>
      </c>
      <c r="G34" s="155" t="s">
        <v>48</v>
      </c>
      <c r="H34" s="132"/>
      <c r="I34" s="155" t="s">
        <v>49</v>
      </c>
      <c r="J34" s="132"/>
      <c r="K34" s="155" t="s">
        <v>63</v>
      </c>
      <c r="L34" s="132"/>
      <c r="M34" s="155" t="s">
        <v>46</v>
      </c>
      <c r="N34" s="132"/>
      <c r="O34" s="155" t="s">
        <v>64</v>
      </c>
      <c r="P34" s="132"/>
      <c r="Q34" s="155" t="s">
        <v>65</v>
      </c>
      <c r="R34" s="132"/>
      <c r="S34" s="155" t="s">
        <v>66</v>
      </c>
      <c r="T34" s="132"/>
      <c r="U34" s="155" t="s">
        <v>67</v>
      </c>
      <c r="V34" s="132"/>
      <c r="W34" s="131" t="s">
        <v>68</v>
      </c>
      <c r="X34" s="132"/>
      <c r="Y34" s="156"/>
      <c r="Z34" s="156"/>
      <c r="AA34" s="156"/>
      <c r="AB34" s="156"/>
      <c r="AC34" s="156"/>
      <c r="AD34" s="156"/>
      <c r="AE34" s="158" t="s">
        <v>74</v>
      </c>
      <c r="AF34" s="132"/>
      <c r="AG34" s="146" t="s">
        <v>52</v>
      </c>
    </row>
    <row r="35">
      <c r="A35" s="81" t="s">
        <v>51</v>
      </c>
      <c r="B35" s="81">
        <v>10.0</v>
      </c>
      <c r="C35" s="81">
        <v>3.0</v>
      </c>
      <c r="D35" s="81">
        <v>18.0</v>
      </c>
      <c r="E35" s="81"/>
      <c r="F35" s="89">
        <f>PRODUCT(C35,(1/(C35+D35)))</f>
        <v>0.1428571429</v>
      </c>
      <c r="G35" s="81">
        <v>1.0</v>
      </c>
      <c r="H35" s="81"/>
      <c r="I35" s="81">
        <v>0.0</v>
      </c>
      <c r="J35" s="81"/>
      <c r="K35" s="81">
        <v>0.0</v>
      </c>
      <c r="L35" s="81"/>
      <c r="M35" s="81">
        <v>8.0</v>
      </c>
      <c r="N35" s="81"/>
      <c r="O35" s="81">
        <v>13.0</v>
      </c>
      <c r="P35" s="81"/>
      <c r="Q35" s="81">
        <v>1.0</v>
      </c>
      <c r="R35" s="81"/>
      <c r="S35" s="81">
        <v>2.0</v>
      </c>
      <c r="T35" s="81"/>
      <c r="U35" s="81">
        <v>1.0</v>
      </c>
      <c r="V35" s="81"/>
      <c r="W35" s="81"/>
      <c r="X35" s="81"/>
      <c r="Y35" s="81"/>
      <c r="Z35" s="81"/>
      <c r="AA35" s="81"/>
      <c r="AB35" s="81"/>
      <c r="AC35" s="81"/>
      <c r="AD35" s="81"/>
      <c r="AE35" s="81">
        <v>7.0</v>
      </c>
      <c r="AF35" s="81"/>
      <c r="AG35" s="81">
        <v>15.0</v>
      </c>
    </row>
    <row r="36">
      <c r="A36" s="25" t="s">
        <v>58</v>
      </c>
      <c r="B36" s="25">
        <v>11.0</v>
      </c>
      <c r="C36" s="25">
        <v>17.0</v>
      </c>
      <c r="D36" s="25">
        <v>15.0</v>
      </c>
      <c r="E36" s="25">
        <f t="shared" ref="E36:E37" si="36">SUM(C36:D36)</f>
        <v>32</v>
      </c>
      <c r="F36" s="82">
        <f>PRODUCT(C36,(1/E36))</f>
        <v>0.53125</v>
      </c>
      <c r="G36" s="25">
        <v>10.0</v>
      </c>
      <c r="H36" s="25">
        <v>12.0</v>
      </c>
      <c r="I36" s="25">
        <v>0.0</v>
      </c>
      <c r="J36" s="25">
        <v>0.0</v>
      </c>
      <c r="K36" s="25">
        <v>0.0</v>
      </c>
      <c r="L36" s="25">
        <v>0.0</v>
      </c>
      <c r="M36" s="25">
        <v>19.0</v>
      </c>
      <c r="N36" s="25">
        <v>42.0</v>
      </c>
      <c r="O36" s="25">
        <v>18.0</v>
      </c>
      <c r="P36" s="25">
        <v>14.0</v>
      </c>
      <c r="Q36" s="25">
        <v>9.0</v>
      </c>
      <c r="R36" s="25">
        <v>9.0</v>
      </c>
      <c r="S36" s="25">
        <v>4.0</v>
      </c>
      <c r="T36" s="25">
        <v>3.0</v>
      </c>
      <c r="U36" s="25">
        <v>2.0</v>
      </c>
      <c r="V36" s="25">
        <v>8.0</v>
      </c>
      <c r="W36" s="25"/>
      <c r="X36" s="25"/>
      <c r="Y36" s="25">
        <f t="shared" ref="Y36:Z36" si="33">PRODUCT(U36,3)</f>
        <v>6</v>
      </c>
      <c r="Z36" s="25">
        <f t="shared" si="33"/>
        <v>24</v>
      </c>
      <c r="AA36" s="25">
        <f t="shared" ref="AA36:AB36" si="34">PRODUCT(S36,2)</f>
        <v>8</v>
      </c>
      <c r="AB36" s="25">
        <f t="shared" si="34"/>
        <v>6</v>
      </c>
      <c r="AC36" s="25"/>
      <c r="AD36" s="25"/>
      <c r="AE36" s="77">
        <f t="shared" ref="AE36:AF36" si="35">SUM(Y36,AA36)</f>
        <v>14</v>
      </c>
      <c r="AF36" s="77">
        <f t="shared" si="35"/>
        <v>30</v>
      </c>
      <c r="AG36" s="25">
        <v>99.0</v>
      </c>
    </row>
    <row r="37">
      <c r="A37" s="81" t="s">
        <v>59</v>
      </c>
      <c r="B37" s="13">
        <v>12.0</v>
      </c>
      <c r="C37" s="13">
        <v>28.0</v>
      </c>
      <c r="D37" s="13">
        <v>10.0</v>
      </c>
      <c r="E37" s="13">
        <f t="shared" si="36"/>
        <v>38</v>
      </c>
      <c r="F37" s="42">
        <f>PRODUCT(C37, (1/E37))</f>
        <v>0.7368421053</v>
      </c>
      <c r="G37" s="13">
        <v>20.0</v>
      </c>
      <c r="H37" s="13">
        <v>8.0</v>
      </c>
      <c r="I37" s="13">
        <v>0.0</v>
      </c>
      <c r="J37" s="13">
        <v>0.0</v>
      </c>
      <c r="K37" s="13">
        <v>0.0</v>
      </c>
      <c r="L37" s="13">
        <v>0.0</v>
      </c>
      <c r="M37" s="13">
        <v>38.0</v>
      </c>
      <c r="N37" s="13">
        <v>20.0</v>
      </c>
      <c r="O37" s="13">
        <v>13.0</v>
      </c>
      <c r="P37" s="13">
        <v>11.0</v>
      </c>
      <c r="Q37" s="13">
        <v>1.0</v>
      </c>
      <c r="R37" s="13">
        <v>8.0</v>
      </c>
      <c r="S37" s="13">
        <v>3.0</v>
      </c>
      <c r="T37" s="13">
        <v>0.0</v>
      </c>
      <c r="U37" s="13">
        <v>3.0</v>
      </c>
      <c r="V37" s="13">
        <v>3.0</v>
      </c>
      <c r="W37" s="13"/>
      <c r="X37" s="13"/>
      <c r="Y37" s="13">
        <f>PRODUCT(U37,3)</f>
        <v>9</v>
      </c>
      <c r="Z37" s="13">
        <f>PRODUCT(S37,2)</f>
        <v>6</v>
      </c>
      <c r="AA37" s="13">
        <f>PRODUCT(V37,3)</f>
        <v>9</v>
      </c>
      <c r="AB37" s="13">
        <f>PRODUCT(T37,2)</f>
        <v>0</v>
      </c>
      <c r="AC37" s="13"/>
      <c r="AD37" s="13"/>
      <c r="AE37" s="13">
        <f>SUM(Y37:Z37)</f>
        <v>15</v>
      </c>
      <c r="AF37" s="13">
        <f>SUM(AA37:AB37)</f>
        <v>9</v>
      </c>
      <c r="AG37" s="13">
        <v>157.0</v>
      </c>
    </row>
    <row r="38">
      <c r="A38" s="33" t="s">
        <v>152</v>
      </c>
      <c r="B38" s="60"/>
      <c r="C38" s="11">
        <f t="shared" ref="C38:E38" si="37">SUM(C35:C37)</f>
        <v>48</v>
      </c>
      <c r="D38" s="11">
        <f t="shared" si="37"/>
        <v>43</v>
      </c>
      <c r="E38" s="11">
        <f t="shared" si="37"/>
        <v>70</v>
      </c>
      <c r="F38" s="137">
        <f>PRODUCT(C38,(1/(C38+D38)))</f>
        <v>0.5274725275</v>
      </c>
      <c r="G38" s="11">
        <f t="shared" ref="G38:V38" si="38">SUM(G35:G37)</f>
        <v>31</v>
      </c>
      <c r="H38" s="11">
        <f t="shared" si="38"/>
        <v>20</v>
      </c>
      <c r="I38" s="11">
        <f t="shared" si="38"/>
        <v>0</v>
      </c>
      <c r="J38" s="11">
        <f t="shared" si="38"/>
        <v>0</v>
      </c>
      <c r="K38" s="11">
        <f t="shared" si="38"/>
        <v>0</v>
      </c>
      <c r="L38" s="11">
        <f t="shared" si="38"/>
        <v>0</v>
      </c>
      <c r="M38" s="11">
        <f t="shared" si="38"/>
        <v>65</v>
      </c>
      <c r="N38" s="11">
        <f t="shared" si="38"/>
        <v>62</v>
      </c>
      <c r="O38" s="11">
        <f t="shared" si="38"/>
        <v>44</v>
      </c>
      <c r="P38" s="11">
        <f t="shared" si="38"/>
        <v>25</v>
      </c>
      <c r="Q38" s="11">
        <f t="shared" si="38"/>
        <v>11</v>
      </c>
      <c r="R38" s="11">
        <f t="shared" si="38"/>
        <v>17</v>
      </c>
      <c r="S38" s="11">
        <f t="shared" si="38"/>
        <v>9</v>
      </c>
      <c r="T38" s="11">
        <f t="shared" si="38"/>
        <v>3</v>
      </c>
      <c r="U38" s="11">
        <f t="shared" si="38"/>
        <v>6</v>
      </c>
      <c r="V38" s="11">
        <f t="shared" si="38"/>
        <v>11</v>
      </c>
      <c r="W38" s="11"/>
      <c r="X38" s="11"/>
      <c r="Y38" s="11">
        <f t="shared" ref="Y38:AB38" si="39">SUM(Y35:Y37)</f>
        <v>15</v>
      </c>
      <c r="Z38" s="11">
        <f t="shared" si="39"/>
        <v>30</v>
      </c>
      <c r="AA38" s="11">
        <f t="shared" si="39"/>
        <v>17</v>
      </c>
      <c r="AB38" s="11">
        <f t="shared" si="39"/>
        <v>6</v>
      </c>
      <c r="AC38" s="11"/>
      <c r="AD38" s="11"/>
      <c r="AE38" s="11">
        <f t="shared" ref="AE38:AG38" si="40">SUM(AE35:AE37)</f>
        <v>36</v>
      </c>
      <c r="AF38" s="11">
        <f t="shared" si="40"/>
        <v>39</v>
      </c>
      <c r="AG38" s="11">
        <f t="shared" si="40"/>
        <v>271</v>
      </c>
    </row>
    <row r="39">
      <c r="A39" s="117"/>
      <c r="AG39" s="117"/>
    </row>
    <row r="40">
      <c r="A40" s="140" t="s">
        <v>158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159"/>
    </row>
    <row r="41">
      <c r="A41" s="146" t="s">
        <v>56</v>
      </c>
      <c r="B41" s="146" t="s">
        <v>62</v>
      </c>
      <c r="C41" s="155" t="s">
        <v>34</v>
      </c>
      <c r="D41" s="160"/>
      <c r="E41" s="156"/>
      <c r="F41" s="157" t="s">
        <v>41</v>
      </c>
      <c r="G41" s="155" t="s">
        <v>48</v>
      </c>
      <c r="H41" s="160"/>
      <c r="I41" s="155" t="s">
        <v>49</v>
      </c>
      <c r="J41" s="160"/>
      <c r="K41" s="155" t="s">
        <v>63</v>
      </c>
      <c r="L41" s="160"/>
      <c r="M41" s="155" t="s">
        <v>46</v>
      </c>
      <c r="N41" s="160"/>
      <c r="O41" s="155" t="s">
        <v>64</v>
      </c>
      <c r="P41" s="160"/>
      <c r="Q41" s="155" t="s">
        <v>65</v>
      </c>
      <c r="R41" s="160"/>
      <c r="S41" s="155" t="s">
        <v>66</v>
      </c>
      <c r="T41" s="160"/>
      <c r="U41" s="155" t="s">
        <v>67</v>
      </c>
      <c r="V41" s="160"/>
      <c r="W41" s="131" t="s">
        <v>68</v>
      </c>
      <c r="X41" s="160"/>
      <c r="Y41" s="156"/>
      <c r="Z41" s="156"/>
      <c r="AA41" s="156"/>
      <c r="AB41" s="156"/>
      <c r="AC41" s="156"/>
      <c r="AD41" s="156"/>
      <c r="AE41" s="158" t="s">
        <v>74</v>
      </c>
      <c r="AF41" s="160"/>
      <c r="AG41" s="146" t="s">
        <v>52</v>
      </c>
    </row>
    <row r="42">
      <c r="A42" s="13" t="s">
        <v>58</v>
      </c>
      <c r="B42" s="13">
        <v>11.0</v>
      </c>
      <c r="C42" s="13">
        <v>7.0</v>
      </c>
      <c r="D42" s="13">
        <v>9.0</v>
      </c>
      <c r="E42" s="13">
        <f t="shared" ref="E42:E43" si="44">SUM(C42:D42)</f>
        <v>16</v>
      </c>
      <c r="F42" s="90">
        <f>PRODUCT(C42,(1/E42))</f>
        <v>0.4375</v>
      </c>
      <c r="G42" s="13">
        <v>4.0</v>
      </c>
      <c r="H42" s="13">
        <v>8.0</v>
      </c>
      <c r="I42" s="13">
        <v>0.0</v>
      </c>
      <c r="J42" s="13">
        <v>0.0</v>
      </c>
      <c r="K42" s="13">
        <v>0.0</v>
      </c>
      <c r="L42" s="13">
        <v>1.0</v>
      </c>
      <c r="M42" s="13">
        <v>10.0</v>
      </c>
      <c r="N42" s="13">
        <v>14.0</v>
      </c>
      <c r="O42" s="13">
        <v>6.0</v>
      </c>
      <c r="P42" s="13">
        <v>4.0</v>
      </c>
      <c r="Q42" s="13">
        <v>3.0</v>
      </c>
      <c r="R42" s="13">
        <v>2.0</v>
      </c>
      <c r="S42" s="13">
        <v>4.0</v>
      </c>
      <c r="T42" s="13">
        <v>2.0</v>
      </c>
      <c r="U42" s="13">
        <v>1.0</v>
      </c>
      <c r="V42" s="13">
        <v>4.0</v>
      </c>
      <c r="W42" s="13"/>
      <c r="X42" s="13"/>
      <c r="Y42" s="13">
        <f t="shared" ref="Y42:Z42" si="41">PRODUCT(U42,3)</f>
        <v>3</v>
      </c>
      <c r="Z42" s="13">
        <f t="shared" si="41"/>
        <v>12</v>
      </c>
      <c r="AA42" s="13">
        <f t="shared" ref="AA42:AB42" si="42">PRODUCT(S42,2)</f>
        <v>8</v>
      </c>
      <c r="AB42" s="13">
        <f t="shared" si="42"/>
        <v>4</v>
      </c>
      <c r="AC42" s="13"/>
      <c r="AD42" s="13"/>
      <c r="AE42" s="80">
        <f t="shared" ref="AE42:AF42" si="43">SUM(Y42,AA42)</f>
        <v>11</v>
      </c>
      <c r="AF42" s="80">
        <f t="shared" si="43"/>
        <v>16</v>
      </c>
      <c r="AG42" s="13">
        <v>6.0</v>
      </c>
    </row>
    <row r="43">
      <c r="A43" s="75" t="s">
        <v>59</v>
      </c>
      <c r="B43" s="25">
        <v>12.0</v>
      </c>
      <c r="C43" s="25">
        <v>7.0</v>
      </c>
      <c r="D43" s="25">
        <v>7.0</v>
      </c>
      <c r="E43" s="25">
        <f t="shared" si="44"/>
        <v>14</v>
      </c>
      <c r="F43" s="43">
        <f t="shared" ref="F43:F44" si="46">PRODUCT(C43, (1/E43))</f>
        <v>0.5</v>
      </c>
      <c r="G43" s="25">
        <v>6.0</v>
      </c>
      <c r="H43" s="25">
        <v>7.0</v>
      </c>
      <c r="I43" s="25">
        <v>0.0</v>
      </c>
      <c r="J43" s="25">
        <v>0.0</v>
      </c>
      <c r="K43" s="25">
        <v>0.0</v>
      </c>
      <c r="L43" s="25">
        <v>0.0</v>
      </c>
      <c r="M43" s="25">
        <v>14.0</v>
      </c>
      <c r="N43" s="25">
        <v>10.0</v>
      </c>
      <c r="O43" s="25">
        <v>8.0</v>
      </c>
      <c r="P43" s="25">
        <v>3.0</v>
      </c>
      <c r="Q43" s="25">
        <v>0.0</v>
      </c>
      <c r="R43" s="25">
        <v>6.0</v>
      </c>
      <c r="S43" s="25">
        <v>4.0</v>
      </c>
      <c r="T43" s="25">
        <v>2.0</v>
      </c>
      <c r="U43" s="25">
        <v>2.0</v>
      </c>
      <c r="V43" s="25">
        <v>2.0</v>
      </c>
      <c r="W43" s="25"/>
      <c r="X43" s="25"/>
      <c r="Y43" s="25">
        <f>PRODUCT(U43,3)</f>
        <v>6</v>
      </c>
      <c r="Z43" s="25">
        <f>PRODUCT(S43,2)</f>
        <v>8</v>
      </c>
      <c r="AA43" s="25">
        <f>PRODUCT(V43,3)</f>
        <v>6</v>
      </c>
      <c r="AB43" s="25">
        <f>PRODUCT(T43,2)</f>
        <v>4</v>
      </c>
      <c r="AC43" s="25"/>
      <c r="AD43" s="25"/>
      <c r="AE43" s="25">
        <f>SUM(Y43:Z43)</f>
        <v>14</v>
      </c>
      <c r="AF43" s="25">
        <f>SUM(AA43:AB43)</f>
        <v>10</v>
      </c>
      <c r="AG43" s="25">
        <v>30.0</v>
      </c>
    </row>
    <row r="44">
      <c r="A44" s="135" t="s">
        <v>152</v>
      </c>
      <c r="B44" s="60"/>
      <c r="C44" s="11">
        <f t="shared" ref="C44:E44" si="45">SUM(C42:C43)</f>
        <v>14</v>
      </c>
      <c r="D44" s="11">
        <f t="shared" si="45"/>
        <v>16</v>
      </c>
      <c r="E44" s="11">
        <f t="shared" si="45"/>
        <v>30</v>
      </c>
      <c r="F44" s="154">
        <f t="shared" si="46"/>
        <v>0.4666666667</v>
      </c>
      <c r="G44" s="11">
        <f t="shared" ref="G44:V44" si="47">SUM(G42:G43)</f>
        <v>10</v>
      </c>
      <c r="H44" s="11">
        <f t="shared" si="47"/>
        <v>15</v>
      </c>
      <c r="I44" s="11">
        <f t="shared" si="47"/>
        <v>0</v>
      </c>
      <c r="J44" s="11">
        <f t="shared" si="47"/>
        <v>0</v>
      </c>
      <c r="K44" s="11">
        <f t="shared" si="47"/>
        <v>0</v>
      </c>
      <c r="L44" s="11">
        <f t="shared" si="47"/>
        <v>1</v>
      </c>
      <c r="M44" s="11">
        <f t="shared" si="47"/>
        <v>24</v>
      </c>
      <c r="N44" s="11">
        <f t="shared" si="47"/>
        <v>24</v>
      </c>
      <c r="O44" s="11">
        <f t="shared" si="47"/>
        <v>14</v>
      </c>
      <c r="P44" s="11">
        <f t="shared" si="47"/>
        <v>7</v>
      </c>
      <c r="Q44" s="11">
        <f t="shared" si="47"/>
        <v>3</v>
      </c>
      <c r="R44" s="11">
        <f t="shared" si="47"/>
        <v>8</v>
      </c>
      <c r="S44" s="11">
        <f t="shared" si="47"/>
        <v>8</v>
      </c>
      <c r="T44" s="11">
        <f t="shared" si="47"/>
        <v>4</v>
      </c>
      <c r="U44" s="11">
        <f t="shared" si="47"/>
        <v>3</v>
      </c>
      <c r="V44" s="11">
        <f t="shared" si="47"/>
        <v>6</v>
      </c>
      <c r="W44" s="11"/>
      <c r="X44" s="11"/>
      <c r="Y44" s="11">
        <f t="shared" ref="Y44:AB44" si="48">SUM(Y42:Y43)</f>
        <v>9</v>
      </c>
      <c r="Z44" s="11">
        <f t="shared" si="48"/>
        <v>20</v>
      </c>
      <c r="AA44" s="11">
        <f t="shared" si="48"/>
        <v>14</v>
      </c>
      <c r="AB44" s="11">
        <f t="shared" si="48"/>
        <v>8</v>
      </c>
      <c r="AC44" s="11"/>
      <c r="AD44" s="11"/>
      <c r="AE44" s="11">
        <f t="shared" ref="AE44:AG44" si="49">SUM(AE42:AE43)</f>
        <v>25</v>
      </c>
      <c r="AF44" s="11">
        <f t="shared" si="49"/>
        <v>26</v>
      </c>
      <c r="AG44" s="11">
        <f t="shared" si="49"/>
        <v>36</v>
      </c>
    </row>
    <row r="45">
      <c r="A45" s="161"/>
      <c r="B45" s="161"/>
      <c r="C45" s="117"/>
      <c r="D45" s="117"/>
      <c r="E45" s="117"/>
      <c r="F45" s="162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</row>
    <row r="46">
      <c r="A46" s="140" t="s">
        <v>159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159"/>
    </row>
    <row r="47">
      <c r="A47" s="146" t="s">
        <v>56</v>
      </c>
      <c r="B47" s="146" t="s">
        <v>62</v>
      </c>
      <c r="C47" s="155" t="s">
        <v>34</v>
      </c>
      <c r="D47" s="160"/>
      <c r="E47" s="156"/>
      <c r="F47" s="157" t="s">
        <v>41</v>
      </c>
      <c r="G47" s="155" t="s">
        <v>48</v>
      </c>
      <c r="H47" s="160"/>
      <c r="I47" s="155" t="s">
        <v>49</v>
      </c>
      <c r="J47" s="160"/>
      <c r="K47" s="155" t="s">
        <v>63</v>
      </c>
      <c r="L47" s="160"/>
      <c r="M47" s="155" t="s">
        <v>46</v>
      </c>
      <c r="N47" s="160"/>
      <c r="O47" s="155" t="s">
        <v>64</v>
      </c>
      <c r="P47" s="160"/>
      <c r="Q47" s="155" t="s">
        <v>65</v>
      </c>
      <c r="R47" s="160"/>
      <c r="S47" s="155" t="s">
        <v>66</v>
      </c>
      <c r="T47" s="160"/>
      <c r="U47" s="155" t="s">
        <v>67</v>
      </c>
      <c r="V47" s="160"/>
      <c r="W47" s="131" t="s">
        <v>68</v>
      </c>
      <c r="X47" s="160"/>
      <c r="Y47" s="156"/>
      <c r="Z47" s="156"/>
      <c r="AA47" s="156"/>
      <c r="AB47" s="156"/>
      <c r="AC47" s="156"/>
      <c r="AD47" s="156"/>
      <c r="AE47" s="158" t="s">
        <v>74</v>
      </c>
      <c r="AF47" s="160"/>
      <c r="AG47" s="146" t="s">
        <v>52</v>
      </c>
    </row>
    <row r="48">
      <c r="A48" s="81" t="s">
        <v>51</v>
      </c>
      <c r="B48" s="81">
        <v>9.0</v>
      </c>
      <c r="C48" s="81">
        <v>12.0</v>
      </c>
      <c r="D48" s="81">
        <v>9.0</v>
      </c>
      <c r="E48" s="81">
        <f t="shared" ref="E48:E51" si="50">SUM(C48:D48)</f>
        <v>21</v>
      </c>
      <c r="F48" s="89">
        <f t="shared" ref="F48:F52" si="51">PRODUCT(C48,(1/(C48+D48)))</f>
        <v>0.5714285714</v>
      </c>
      <c r="G48" s="81">
        <v>7.0</v>
      </c>
      <c r="H48" s="81"/>
      <c r="I48" s="81">
        <v>0.0</v>
      </c>
      <c r="J48" s="81"/>
      <c r="K48" s="81">
        <v>2.0</v>
      </c>
      <c r="L48" s="81"/>
      <c r="M48" s="81">
        <v>22.0</v>
      </c>
      <c r="N48" s="81"/>
      <c r="O48" s="81">
        <v>21.0</v>
      </c>
      <c r="P48" s="81"/>
      <c r="Q48" s="81">
        <v>7.0</v>
      </c>
      <c r="R48" s="81"/>
      <c r="S48" s="81">
        <v>6.0</v>
      </c>
      <c r="T48" s="81"/>
      <c r="U48" s="81">
        <v>8.0</v>
      </c>
      <c r="V48" s="81"/>
      <c r="W48" s="103"/>
      <c r="X48" s="103"/>
      <c r="Y48" s="81"/>
      <c r="Z48" s="81"/>
      <c r="AA48" s="81"/>
      <c r="AB48" s="81"/>
      <c r="AC48" s="81"/>
      <c r="AD48" s="81"/>
      <c r="AE48" s="81">
        <v>36.0</v>
      </c>
      <c r="AF48" s="81"/>
      <c r="AG48" s="81">
        <v>62.0</v>
      </c>
    </row>
    <row r="49">
      <c r="A49" s="25" t="s">
        <v>58</v>
      </c>
      <c r="B49" s="25">
        <v>10.0</v>
      </c>
      <c r="C49" s="25">
        <v>27.0</v>
      </c>
      <c r="D49" s="25">
        <v>13.0</v>
      </c>
      <c r="E49" s="75">
        <f t="shared" si="50"/>
        <v>40</v>
      </c>
      <c r="F49" s="87">
        <f t="shared" si="51"/>
        <v>0.675</v>
      </c>
      <c r="G49" s="25">
        <v>19.0</v>
      </c>
      <c r="H49" s="25">
        <v>9.0</v>
      </c>
      <c r="I49" s="25">
        <v>0.0</v>
      </c>
      <c r="J49" s="25">
        <v>0.0</v>
      </c>
      <c r="K49" s="25">
        <v>0.0</v>
      </c>
      <c r="L49" s="25">
        <v>0.0</v>
      </c>
      <c r="M49" s="25">
        <v>39.0</v>
      </c>
      <c r="N49" s="25">
        <v>18.0</v>
      </c>
      <c r="O49" s="25">
        <v>9.0</v>
      </c>
      <c r="P49" s="25">
        <v>10.0</v>
      </c>
      <c r="Q49" s="25">
        <v>2.0</v>
      </c>
      <c r="R49" s="25">
        <v>7.0</v>
      </c>
      <c r="S49" s="25">
        <v>3.0</v>
      </c>
      <c r="T49" s="25">
        <v>3.0</v>
      </c>
      <c r="U49" s="25">
        <v>3.0</v>
      </c>
      <c r="V49" s="25">
        <v>4.0</v>
      </c>
      <c r="W49" s="75">
        <v>0.0</v>
      </c>
      <c r="X49" s="75">
        <v>0.0</v>
      </c>
      <c r="Y49" s="25">
        <f t="shared" ref="Y49:Z49" si="52">PRODUCT(S49,2)</f>
        <v>6</v>
      </c>
      <c r="Z49" s="25">
        <f t="shared" si="52"/>
        <v>6</v>
      </c>
      <c r="AA49" s="25">
        <f t="shared" ref="AA49:AB49" si="53">PRODUCT(U49,3)</f>
        <v>9</v>
      </c>
      <c r="AB49" s="25">
        <f t="shared" si="53"/>
        <v>12</v>
      </c>
      <c r="AC49" s="25">
        <f t="shared" ref="AC49:AD49" si="54">PRODUCT(W49,4)</f>
        <v>0</v>
      </c>
      <c r="AD49" s="25">
        <f t="shared" si="54"/>
        <v>0</v>
      </c>
      <c r="AE49" s="25">
        <f t="shared" ref="AE49:AF49" si="55">SUM(Y49,AA49,AC49)</f>
        <v>15</v>
      </c>
      <c r="AF49" s="25">
        <f t="shared" si="55"/>
        <v>18</v>
      </c>
      <c r="AG49" s="25">
        <v>123.0</v>
      </c>
    </row>
    <row r="50">
      <c r="A50" s="81" t="s">
        <v>59</v>
      </c>
      <c r="B50" s="13">
        <v>11.0</v>
      </c>
      <c r="C50" s="13">
        <v>28.0</v>
      </c>
      <c r="D50" s="13">
        <v>11.0</v>
      </c>
      <c r="E50" s="81">
        <f t="shared" si="50"/>
        <v>39</v>
      </c>
      <c r="F50" s="89">
        <f t="shared" si="51"/>
        <v>0.7179487179</v>
      </c>
      <c r="G50" s="13">
        <v>19.0</v>
      </c>
      <c r="H50" s="13">
        <v>7.0</v>
      </c>
      <c r="I50" s="13">
        <v>0.0</v>
      </c>
      <c r="J50" s="13">
        <v>0.0</v>
      </c>
      <c r="K50" s="13">
        <v>0.0</v>
      </c>
      <c r="L50" s="13">
        <v>1.0</v>
      </c>
      <c r="M50" s="13">
        <v>31.0</v>
      </c>
      <c r="N50" s="13">
        <v>26.0</v>
      </c>
      <c r="O50" s="13">
        <v>9.0</v>
      </c>
      <c r="P50" s="13">
        <v>6.0</v>
      </c>
      <c r="Q50" s="13">
        <v>3.0</v>
      </c>
      <c r="R50" s="13">
        <v>11.0</v>
      </c>
      <c r="S50" s="13">
        <v>2.0</v>
      </c>
      <c r="T50" s="13">
        <v>3.0</v>
      </c>
      <c r="U50" s="13">
        <v>6.0</v>
      </c>
      <c r="V50" s="13">
        <v>4.0</v>
      </c>
      <c r="W50" s="81">
        <v>0.0</v>
      </c>
      <c r="X50" s="81">
        <v>0.0</v>
      </c>
      <c r="Y50" s="13">
        <f t="shared" ref="Y50:Z50" si="56">PRODUCT(S50,2)</f>
        <v>4</v>
      </c>
      <c r="Z50" s="13">
        <f t="shared" si="56"/>
        <v>6</v>
      </c>
      <c r="AA50" s="13">
        <f t="shared" ref="AA50:AB50" si="57">PRODUCT(U50,3)</f>
        <v>18</v>
      </c>
      <c r="AB50" s="13">
        <f t="shared" si="57"/>
        <v>12</v>
      </c>
      <c r="AC50" s="13">
        <f t="shared" ref="AC50:AD50" si="58">PRODUCT(W50,4)</f>
        <v>0</v>
      </c>
      <c r="AD50" s="13">
        <f t="shared" si="58"/>
        <v>0</v>
      </c>
      <c r="AE50" s="13">
        <f t="shared" ref="AE50:AF50" si="59">SUM(Y50,AA50,AC50)</f>
        <v>22</v>
      </c>
      <c r="AF50" s="13">
        <f t="shared" si="59"/>
        <v>18</v>
      </c>
      <c r="AG50" s="13">
        <v>167.0</v>
      </c>
    </row>
    <row r="51">
      <c r="A51" s="75" t="s">
        <v>50</v>
      </c>
      <c r="B51" s="25">
        <v>12.0</v>
      </c>
      <c r="C51" s="25">
        <v>18.0</v>
      </c>
      <c r="D51" s="25">
        <v>10.0</v>
      </c>
      <c r="E51" s="75">
        <f t="shared" si="50"/>
        <v>28</v>
      </c>
      <c r="F51" s="87">
        <f t="shared" si="51"/>
        <v>0.6428571429</v>
      </c>
      <c r="G51" s="25">
        <v>15.0</v>
      </c>
      <c r="H51" s="25">
        <v>6.0</v>
      </c>
      <c r="I51" s="25">
        <v>0.0</v>
      </c>
      <c r="J51" s="25">
        <v>0.0</v>
      </c>
      <c r="K51" s="25">
        <v>1.0</v>
      </c>
      <c r="L51" s="25">
        <v>2.0</v>
      </c>
      <c r="M51" s="25">
        <v>19.0</v>
      </c>
      <c r="N51" s="25">
        <v>14.0</v>
      </c>
      <c r="O51" s="25">
        <v>9.0</v>
      </c>
      <c r="P51" s="25">
        <v>3.0</v>
      </c>
      <c r="Q51" s="25">
        <v>2.0</v>
      </c>
      <c r="R51" s="25">
        <v>9.0</v>
      </c>
      <c r="S51" s="25">
        <v>1.0</v>
      </c>
      <c r="T51" s="25">
        <v>2.0</v>
      </c>
      <c r="U51" s="25">
        <v>2.0</v>
      </c>
      <c r="V51" s="25">
        <v>1.0</v>
      </c>
      <c r="W51" s="25">
        <v>5.0</v>
      </c>
      <c r="X51" s="25">
        <v>2.0</v>
      </c>
      <c r="Y51" s="25">
        <f t="shared" ref="Y51:Z51" si="60">PRODUCT(S51,2)</f>
        <v>2</v>
      </c>
      <c r="Z51" s="25">
        <f t="shared" si="60"/>
        <v>4</v>
      </c>
      <c r="AA51" s="25">
        <f t="shared" ref="AA51:AB51" si="61">PRODUCT(U51,3)</f>
        <v>6</v>
      </c>
      <c r="AB51" s="25">
        <f t="shared" si="61"/>
        <v>3</v>
      </c>
      <c r="AC51" s="25">
        <f t="shared" ref="AC51:AD51" si="62">PRODUCT(W51,4)</f>
        <v>20</v>
      </c>
      <c r="AD51" s="25">
        <f t="shared" si="62"/>
        <v>8</v>
      </c>
      <c r="AE51" s="25">
        <f t="shared" ref="AE51:AF51" si="63">SUM(Y51,AA51,AC51)</f>
        <v>28</v>
      </c>
      <c r="AF51" s="25">
        <f t="shared" si="63"/>
        <v>15</v>
      </c>
      <c r="AG51" s="25">
        <v>100.0</v>
      </c>
    </row>
    <row r="52">
      <c r="A52" s="135" t="s">
        <v>152</v>
      </c>
      <c r="B52" s="60"/>
      <c r="C52" s="11">
        <f t="shared" ref="C52:D52" si="64">SUM(C48:C51)</f>
        <v>85</v>
      </c>
      <c r="D52" s="11">
        <f t="shared" si="64"/>
        <v>43</v>
      </c>
      <c r="E52" s="11">
        <f>SUM(E50:E51)</f>
        <v>67</v>
      </c>
      <c r="F52" s="137">
        <f t="shared" si="51"/>
        <v>0.6640625</v>
      </c>
      <c r="G52" s="11">
        <f t="shared" ref="G52:AG52" si="65">SUM(G48:G51)</f>
        <v>60</v>
      </c>
      <c r="H52" s="11">
        <f t="shared" si="65"/>
        <v>22</v>
      </c>
      <c r="I52" s="11">
        <f t="shared" si="65"/>
        <v>0</v>
      </c>
      <c r="J52" s="11">
        <f t="shared" si="65"/>
        <v>0</v>
      </c>
      <c r="K52" s="11">
        <f t="shared" si="65"/>
        <v>3</v>
      </c>
      <c r="L52" s="11">
        <f t="shared" si="65"/>
        <v>3</v>
      </c>
      <c r="M52" s="11">
        <f t="shared" si="65"/>
        <v>111</v>
      </c>
      <c r="N52" s="11">
        <f t="shared" si="65"/>
        <v>58</v>
      </c>
      <c r="O52" s="11">
        <f t="shared" si="65"/>
        <v>48</v>
      </c>
      <c r="P52" s="11">
        <f t="shared" si="65"/>
        <v>19</v>
      </c>
      <c r="Q52" s="11">
        <f t="shared" si="65"/>
        <v>14</v>
      </c>
      <c r="R52" s="11">
        <f t="shared" si="65"/>
        <v>27</v>
      </c>
      <c r="S52" s="11">
        <f t="shared" si="65"/>
        <v>12</v>
      </c>
      <c r="T52" s="11">
        <f t="shared" si="65"/>
        <v>8</v>
      </c>
      <c r="U52" s="11">
        <f t="shared" si="65"/>
        <v>19</v>
      </c>
      <c r="V52" s="11">
        <f t="shared" si="65"/>
        <v>9</v>
      </c>
      <c r="W52" s="11">
        <f t="shared" si="65"/>
        <v>5</v>
      </c>
      <c r="X52" s="11">
        <f t="shared" si="65"/>
        <v>2</v>
      </c>
      <c r="Y52" s="11">
        <f t="shared" si="65"/>
        <v>12</v>
      </c>
      <c r="Z52" s="11">
        <f t="shared" si="65"/>
        <v>16</v>
      </c>
      <c r="AA52" s="11">
        <f t="shared" si="65"/>
        <v>33</v>
      </c>
      <c r="AB52" s="11">
        <f t="shared" si="65"/>
        <v>27</v>
      </c>
      <c r="AC52" s="11">
        <f t="shared" si="65"/>
        <v>20</v>
      </c>
      <c r="AD52" s="11">
        <f t="shared" si="65"/>
        <v>8</v>
      </c>
      <c r="AE52" s="11">
        <f t="shared" si="65"/>
        <v>101</v>
      </c>
      <c r="AF52" s="11">
        <f t="shared" si="65"/>
        <v>51</v>
      </c>
      <c r="AG52" s="11">
        <f t="shared" si="65"/>
        <v>452</v>
      </c>
    </row>
    <row r="53">
      <c r="A53" s="161"/>
      <c r="B53" s="161"/>
      <c r="C53" s="117"/>
      <c r="D53" s="117"/>
      <c r="E53" s="117"/>
      <c r="F53" s="162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</row>
    <row r="54">
      <c r="A54" s="163" t="s">
        <v>160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164"/>
    </row>
    <row r="55">
      <c r="A55" s="146" t="s">
        <v>56</v>
      </c>
      <c r="B55" s="146" t="s">
        <v>62</v>
      </c>
      <c r="C55" s="155" t="s">
        <v>34</v>
      </c>
      <c r="D55" s="160"/>
      <c r="E55" s="156"/>
      <c r="F55" s="157" t="s">
        <v>41</v>
      </c>
      <c r="G55" s="155" t="s">
        <v>48</v>
      </c>
      <c r="H55" s="160"/>
      <c r="I55" s="155" t="s">
        <v>49</v>
      </c>
      <c r="J55" s="160"/>
      <c r="K55" s="155" t="s">
        <v>63</v>
      </c>
      <c r="L55" s="160"/>
      <c r="M55" s="155" t="s">
        <v>46</v>
      </c>
      <c r="N55" s="160"/>
      <c r="O55" s="155" t="s">
        <v>64</v>
      </c>
      <c r="P55" s="160"/>
      <c r="Q55" s="155" t="s">
        <v>65</v>
      </c>
      <c r="R55" s="160"/>
      <c r="S55" s="155" t="s">
        <v>66</v>
      </c>
      <c r="T55" s="160"/>
      <c r="U55" s="155" t="s">
        <v>67</v>
      </c>
      <c r="V55" s="160"/>
      <c r="W55" s="155" t="s">
        <v>68</v>
      </c>
      <c r="X55" s="160"/>
      <c r="Y55" s="156"/>
      <c r="Z55" s="156"/>
      <c r="AA55" s="156"/>
      <c r="AB55" s="156"/>
      <c r="AC55" s="156"/>
      <c r="AD55" s="156"/>
      <c r="AE55" s="155" t="s">
        <v>74</v>
      </c>
      <c r="AF55" s="160"/>
      <c r="AG55" s="146" t="s">
        <v>52</v>
      </c>
    </row>
    <row r="56">
      <c r="A56" s="13" t="s">
        <v>58</v>
      </c>
      <c r="B56" s="13">
        <v>10.0</v>
      </c>
      <c r="C56" s="13">
        <v>12.0</v>
      </c>
      <c r="D56" s="13">
        <v>9.0</v>
      </c>
      <c r="E56" s="13">
        <f t="shared" ref="E56:E57" si="70">SUM(C56:D56)</f>
        <v>21</v>
      </c>
      <c r="F56" s="90">
        <f>PRODUCT(C56,(1/E56))</f>
        <v>0.5714285714</v>
      </c>
      <c r="G56" s="13">
        <v>9.0</v>
      </c>
      <c r="H56" s="13">
        <v>8.0</v>
      </c>
      <c r="I56" s="13">
        <v>0.0</v>
      </c>
      <c r="J56" s="13">
        <v>0.0</v>
      </c>
      <c r="K56" s="13">
        <v>0.0</v>
      </c>
      <c r="L56" s="13">
        <v>0.0</v>
      </c>
      <c r="M56" s="13">
        <v>8.0</v>
      </c>
      <c r="N56" s="13">
        <v>13.0</v>
      </c>
      <c r="O56" s="13">
        <v>1.0</v>
      </c>
      <c r="P56" s="13">
        <v>2.0</v>
      </c>
      <c r="Q56" s="13">
        <v>3.0</v>
      </c>
      <c r="R56" s="13">
        <v>0.0</v>
      </c>
      <c r="S56" s="13">
        <v>3.0</v>
      </c>
      <c r="T56" s="13">
        <v>0.0</v>
      </c>
      <c r="U56" s="13">
        <v>2.0</v>
      </c>
      <c r="V56" s="13">
        <v>2.0</v>
      </c>
      <c r="W56" s="81">
        <v>0.0</v>
      </c>
      <c r="X56" s="81">
        <v>0.0</v>
      </c>
      <c r="Y56" s="13">
        <f t="shared" ref="Y56:Z56" si="66">PRODUCT(S56,2)</f>
        <v>6</v>
      </c>
      <c r="Z56" s="13">
        <f t="shared" si="66"/>
        <v>0</v>
      </c>
      <c r="AA56" s="13">
        <f t="shared" ref="AA56:AB56" si="67">PRODUCT(U56,3)</f>
        <v>6</v>
      </c>
      <c r="AB56" s="13">
        <f t="shared" si="67"/>
        <v>6</v>
      </c>
      <c r="AC56" s="13">
        <f t="shared" ref="AC56:AD56" si="68">PRODUCT(W56,4)</f>
        <v>0</v>
      </c>
      <c r="AD56" s="13">
        <f t="shared" si="68"/>
        <v>0</v>
      </c>
      <c r="AE56" s="13">
        <f t="shared" ref="AE56:AF56" si="69">SUM(Y56,AA56,AC56)</f>
        <v>12</v>
      </c>
      <c r="AF56" s="13">
        <f t="shared" si="69"/>
        <v>6</v>
      </c>
      <c r="AG56" s="13">
        <v>62.0</v>
      </c>
    </row>
    <row r="57">
      <c r="A57" s="75" t="s">
        <v>50</v>
      </c>
      <c r="B57" s="25">
        <v>12.0</v>
      </c>
      <c r="C57" s="25">
        <v>7.0</v>
      </c>
      <c r="D57" s="25">
        <v>10.0</v>
      </c>
      <c r="E57" s="25">
        <f t="shared" si="70"/>
        <v>17</v>
      </c>
      <c r="F57" s="43">
        <f t="shared" ref="F57:F58" si="76">PRODUCT(C57, (1/E57))</f>
        <v>0.4117647059</v>
      </c>
      <c r="G57" s="25">
        <v>1.0</v>
      </c>
      <c r="H57" s="25">
        <v>8.0</v>
      </c>
      <c r="I57" s="25">
        <v>0.0</v>
      </c>
      <c r="J57" s="25">
        <v>0.0</v>
      </c>
      <c r="K57" s="25">
        <v>0.0</v>
      </c>
      <c r="L57" s="25">
        <v>0.0</v>
      </c>
      <c r="M57" s="25">
        <v>3.0</v>
      </c>
      <c r="N57" s="25">
        <v>5.0</v>
      </c>
      <c r="O57" s="25">
        <v>0.0</v>
      </c>
      <c r="P57" s="25">
        <v>1.0</v>
      </c>
      <c r="Q57" s="25">
        <v>0.0</v>
      </c>
      <c r="R57" s="25">
        <v>3.0</v>
      </c>
      <c r="S57" s="25">
        <v>0.0</v>
      </c>
      <c r="T57" s="25">
        <v>0.0</v>
      </c>
      <c r="U57" s="25">
        <v>0.0</v>
      </c>
      <c r="V57" s="25">
        <v>0.0</v>
      </c>
      <c r="W57" s="25">
        <v>0.0</v>
      </c>
      <c r="X57" s="25">
        <v>1.0</v>
      </c>
      <c r="Y57" s="25">
        <f t="shared" ref="Y57:Z57" si="71">PRODUCT(S57,2)</f>
        <v>0</v>
      </c>
      <c r="Z57" s="25">
        <f t="shared" si="71"/>
        <v>0</v>
      </c>
      <c r="AA57" s="25">
        <f t="shared" ref="AA57:AB57" si="72">PRODUCT(U57,3)</f>
        <v>0</v>
      </c>
      <c r="AB57" s="25">
        <f t="shared" si="72"/>
        <v>0</v>
      </c>
      <c r="AC57" s="25">
        <f t="shared" ref="AC57:AD57" si="73">PRODUCT(W57,4)</f>
        <v>0</v>
      </c>
      <c r="AD57" s="25">
        <f t="shared" si="73"/>
        <v>4</v>
      </c>
      <c r="AE57" s="25">
        <f t="shared" ref="AE57:AF57" si="74">SUM(Y57,AA57,AC57)</f>
        <v>0</v>
      </c>
      <c r="AF57" s="25">
        <f t="shared" si="74"/>
        <v>4</v>
      </c>
      <c r="AG57" s="25">
        <v>31.0</v>
      </c>
    </row>
    <row r="58">
      <c r="A58" s="135" t="s">
        <v>152</v>
      </c>
      <c r="B58" s="60"/>
      <c r="C58" s="11">
        <f t="shared" ref="C58:E58" si="75">SUM(C56:C57)</f>
        <v>19</v>
      </c>
      <c r="D58" s="11">
        <f t="shared" si="75"/>
        <v>19</v>
      </c>
      <c r="E58" s="11">
        <f t="shared" si="75"/>
        <v>38</v>
      </c>
      <c r="F58" s="154">
        <f t="shared" si="76"/>
        <v>0.5</v>
      </c>
      <c r="G58" s="11">
        <f t="shared" ref="G58:AG58" si="77">SUM(G56:G57)</f>
        <v>10</v>
      </c>
      <c r="H58" s="11">
        <f t="shared" si="77"/>
        <v>16</v>
      </c>
      <c r="I58" s="11">
        <f t="shared" si="77"/>
        <v>0</v>
      </c>
      <c r="J58" s="11">
        <f t="shared" si="77"/>
        <v>0</v>
      </c>
      <c r="K58" s="11">
        <f t="shared" si="77"/>
        <v>0</v>
      </c>
      <c r="L58" s="11">
        <f t="shared" si="77"/>
        <v>0</v>
      </c>
      <c r="M58" s="11">
        <f t="shared" si="77"/>
        <v>11</v>
      </c>
      <c r="N58" s="11">
        <f t="shared" si="77"/>
        <v>18</v>
      </c>
      <c r="O58" s="11">
        <f t="shared" si="77"/>
        <v>1</v>
      </c>
      <c r="P58" s="11">
        <f t="shared" si="77"/>
        <v>3</v>
      </c>
      <c r="Q58" s="11">
        <f t="shared" si="77"/>
        <v>3</v>
      </c>
      <c r="R58" s="11">
        <f t="shared" si="77"/>
        <v>3</v>
      </c>
      <c r="S58" s="11">
        <f t="shared" si="77"/>
        <v>3</v>
      </c>
      <c r="T58" s="11">
        <f t="shared" si="77"/>
        <v>0</v>
      </c>
      <c r="U58" s="11">
        <f t="shared" si="77"/>
        <v>2</v>
      </c>
      <c r="V58" s="11">
        <f t="shared" si="77"/>
        <v>2</v>
      </c>
      <c r="W58" s="11">
        <f t="shared" si="77"/>
        <v>0</v>
      </c>
      <c r="X58" s="11">
        <f t="shared" si="77"/>
        <v>1</v>
      </c>
      <c r="Y58" s="11">
        <f t="shared" si="77"/>
        <v>6</v>
      </c>
      <c r="Z58" s="11">
        <f t="shared" si="77"/>
        <v>0</v>
      </c>
      <c r="AA58" s="11">
        <f t="shared" si="77"/>
        <v>6</v>
      </c>
      <c r="AB58" s="11">
        <f t="shared" si="77"/>
        <v>6</v>
      </c>
      <c r="AC58" s="11">
        <f t="shared" si="77"/>
        <v>0</v>
      </c>
      <c r="AD58" s="11">
        <f t="shared" si="77"/>
        <v>4</v>
      </c>
      <c r="AE58" s="11">
        <f t="shared" si="77"/>
        <v>12</v>
      </c>
      <c r="AF58" s="11">
        <f t="shared" si="77"/>
        <v>10</v>
      </c>
      <c r="AG58" s="11">
        <f t="shared" si="77"/>
        <v>93</v>
      </c>
    </row>
    <row r="59">
      <c r="A59" s="161"/>
      <c r="B59" s="161"/>
      <c r="C59" s="117"/>
      <c r="D59" s="117"/>
      <c r="E59" s="117"/>
      <c r="F59" s="162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</row>
    <row r="60">
      <c r="A60" s="163" t="s">
        <v>161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164"/>
    </row>
    <row r="61">
      <c r="A61" s="146" t="s">
        <v>56</v>
      </c>
      <c r="B61" s="146" t="s">
        <v>62</v>
      </c>
      <c r="C61" s="155" t="s">
        <v>34</v>
      </c>
      <c r="D61" s="160"/>
      <c r="E61" s="156"/>
      <c r="F61" s="157" t="s">
        <v>41</v>
      </c>
      <c r="G61" s="155" t="s">
        <v>48</v>
      </c>
      <c r="H61" s="160"/>
      <c r="I61" s="155" t="s">
        <v>49</v>
      </c>
      <c r="J61" s="160"/>
      <c r="K61" s="155" t="s">
        <v>63</v>
      </c>
      <c r="L61" s="160"/>
      <c r="M61" s="155" t="s">
        <v>46</v>
      </c>
      <c r="N61" s="160"/>
      <c r="O61" s="155" t="s">
        <v>64</v>
      </c>
      <c r="P61" s="160"/>
      <c r="Q61" s="155" t="s">
        <v>65</v>
      </c>
      <c r="R61" s="160"/>
      <c r="S61" s="155" t="s">
        <v>66</v>
      </c>
      <c r="T61" s="160"/>
      <c r="U61" s="155" t="s">
        <v>67</v>
      </c>
      <c r="V61" s="160"/>
      <c r="W61" s="155" t="s">
        <v>68</v>
      </c>
      <c r="X61" s="160"/>
      <c r="Y61" s="156"/>
      <c r="Z61" s="156"/>
      <c r="AA61" s="156"/>
      <c r="AB61" s="156"/>
      <c r="AC61" s="156"/>
      <c r="AD61" s="156"/>
      <c r="AE61" s="155" t="s">
        <v>74</v>
      </c>
      <c r="AF61" s="160"/>
      <c r="AG61" s="146" t="s">
        <v>52</v>
      </c>
    </row>
    <row r="62">
      <c r="A62" s="81" t="s">
        <v>51</v>
      </c>
      <c r="B62" s="81">
        <v>9.0</v>
      </c>
      <c r="C62" s="81">
        <v>12.0</v>
      </c>
      <c r="D62" s="81">
        <v>13.0</v>
      </c>
      <c r="E62" s="81"/>
      <c r="F62" s="89">
        <f>PRODUCT(C62,(1/(C62+D62)))</f>
        <v>0.48</v>
      </c>
      <c r="G62" s="81">
        <v>10.0</v>
      </c>
      <c r="H62" s="81"/>
      <c r="I62" s="81">
        <v>0.0</v>
      </c>
      <c r="J62" s="81"/>
      <c r="K62" s="81">
        <v>1.0</v>
      </c>
      <c r="L62" s="81"/>
      <c r="M62" s="81">
        <v>19.0</v>
      </c>
      <c r="N62" s="81"/>
      <c r="O62" s="81">
        <v>14.0</v>
      </c>
      <c r="P62" s="81"/>
      <c r="Q62" s="81">
        <v>6.0</v>
      </c>
      <c r="R62" s="81"/>
      <c r="S62" s="81">
        <v>2.0</v>
      </c>
      <c r="T62" s="81"/>
      <c r="U62" s="81">
        <v>3.0</v>
      </c>
      <c r="V62" s="81"/>
      <c r="W62" s="103"/>
      <c r="X62" s="103"/>
      <c r="Y62" s="81"/>
      <c r="Z62" s="81"/>
      <c r="AA62" s="81"/>
      <c r="AB62" s="81"/>
      <c r="AC62" s="81"/>
      <c r="AD62" s="81"/>
      <c r="AE62" s="81">
        <v>10.0</v>
      </c>
      <c r="AF62" s="81"/>
      <c r="AG62" s="81">
        <v>70.0</v>
      </c>
    </row>
    <row r="63">
      <c r="A63" s="25" t="s">
        <v>58</v>
      </c>
      <c r="B63" s="25">
        <v>10.0</v>
      </c>
      <c r="C63" s="25">
        <v>21.0</v>
      </c>
      <c r="D63" s="25">
        <v>14.0</v>
      </c>
      <c r="E63" s="25">
        <f t="shared" ref="E63:E65" si="82">SUM(C63:D63)</f>
        <v>35</v>
      </c>
      <c r="F63" s="82">
        <f>PRODUCT(C63,(1/E63))</f>
        <v>0.6</v>
      </c>
      <c r="G63" s="25">
        <v>15.0</v>
      </c>
      <c r="H63" s="25">
        <v>7.0</v>
      </c>
      <c r="I63" s="25">
        <v>0.0</v>
      </c>
      <c r="J63" s="25">
        <v>0.0</v>
      </c>
      <c r="K63" s="25">
        <v>2.0</v>
      </c>
      <c r="L63" s="25">
        <v>2.0</v>
      </c>
      <c r="M63" s="25">
        <v>30.0</v>
      </c>
      <c r="N63" s="25">
        <v>20.0</v>
      </c>
      <c r="O63" s="25">
        <v>3.0</v>
      </c>
      <c r="P63" s="25">
        <v>10.0</v>
      </c>
      <c r="Q63" s="25">
        <v>11.0</v>
      </c>
      <c r="R63" s="25">
        <v>6.0</v>
      </c>
      <c r="S63" s="25">
        <v>3.0</v>
      </c>
      <c r="T63" s="25">
        <v>3.0</v>
      </c>
      <c r="U63" s="25">
        <v>10.0</v>
      </c>
      <c r="V63" s="25">
        <v>6.0</v>
      </c>
      <c r="W63" s="75">
        <v>0.0</v>
      </c>
      <c r="X63" s="75">
        <v>0.0</v>
      </c>
      <c r="Y63" s="25">
        <f t="shared" ref="Y63:Z63" si="78">PRODUCT(S63,2)</f>
        <v>6</v>
      </c>
      <c r="Z63" s="25">
        <f t="shared" si="78"/>
        <v>6</v>
      </c>
      <c r="AA63" s="25">
        <f t="shared" ref="AA63:AB63" si="79">PRODUCT(U63,3)</f>
        <v>30</v>
      </c>
      <c r="AB63" s="25">
        <f t="shared" si="79"/>
        <v>18</v>
      </c>
      <c r="AC63" s="25">
        <f t="shared" ref="AC63:AD63" si="80">PRODUCT(W63,4)</f>
        <v>0</v>
      </c>
      <c r="AD63" s="25">
        <f t="shared" si="80"/>
        <v>0</v>
      </c>
      <c r="AE63" s="25">
        <f t="shared" ref="AE63:AF63" si="81">SUM(Y63,AA63,AC63)</f>
        <v>36</v>
      </c>
      <c r="AF63" s="25">
        <f t="shared" si="81"/>
        <v>24</v>
      </c>
      <c r="AG63" s="25">
        <v>115.0</v>
      </c>
    </row>
    <row r="64">
      <c r="A64" s="81" t="s">
        <v>59</v>
      </c>
      <c r="B64" s="13">
        <v>11.0</v>
      </c>
      <c r="C64" s="13">
        <v>22.0</v>
      </c>
      <c r="D64" s="13">
        <v>14.0</v>
      </c>
      <c r="E64" s="13">
        <f t="shared" si="82"/>
        <v>36</v>
      </c>
      <c r="F64" s="42">
        <f t="shared" ref="F64:F65" si="87">PRODUCT(C64, (1/E64))</f>
        <v>0.6111111111</v>
      </c>
      <c r="G64" s="13">
        <v>11.0</v>
      </c>
      <c r="H64" s="13">
        <v>10.0</v>
      </c>
      <c r="I64" s="13">
        <v>0.0</v>
      </c>
      <c r="J64" s="13">
        <v>0.0</v>
      </c>
      <c r="K64" s="13">
        <v>1.0</v>
      </c>
      <c r="L64" s="13">
        <v>2.0</v>
      </c>
      <c r="M64" s="13">
        <v>35.0</v>
      </c>
      <c r="N64" s="13">
        <v>25.0</v>
      </c>
      <c r="O64" s="13">
        <v>6.0</v>
      </c>
      <c r="P64" s="13">
        <v>18.0</v>
      </c>
      <c r="Q64" s="13">
        <v>8.0</v>
      </c>
      <c r="R64" s="13">
        <v>5.0</v>
      </c>
      <c r="S64" s="13">
        <v>5.0</v>
      </c>
      <c r="T64" s="13">
        <v>7.0</v>
      </c>
      <c r="U64" s="13">
        <v>6.0</v>
      </c>
      <c r="V64" s="13">
        <v>12.0</v>
      </c>
      <c r="W64" s="81">
        <v>0.0</v>
      </c>
      <c r="X64" s="81">
        <v>0.0</v>
      </c>
      <c r="Y64" s="13">
        <f t="shared" ref="Y64:Z64" si="83">PRODUCT(S64,2)</f>
        <v>10</v>
      </c>
      <c r="Z64" s="13">
        <f t="shared" si="83"/>
        <v>14</v>
      </c>
      <c r="AA64" s="13">
        <f t="shared" ref="AA64:AB64" si="84">PRODUCT(U64,3)</f>
        <v>18</v>
      </c>
      <c r="AB64" s="13">
        <f t="shared" si="84"/>
        <v>36</v>
      </c>
      <c r="AC64" s="13">
        <f t="shared" ref="AC64:AD64" si="85">PRODUCT(W64,4)</f>
        <v>0</v>
      </c>
      <c r="AD64" s="13">
        <f t="shared" si="85"/>
        <v>0</v>
      </c>
      <c r="AE64" s="13">
        <f t="shared" ref="AE64:AF64" si="86">SUM(Y64,AA64,AC64)</f>
        <v>28</v>
      </c>
      <c r="AF64" s="13">
        <f t="shared" si="86"/>
        <v>50</v>
      </c>
      <c r="AG64" s="13">
        <v>129.0</v>
      </c>
    </row>
    <row r="65">
      <c r="A65" s="75" t="s">
        <v>50</v>
      </c>
      <c r="B65" s="25">
        <v>12.0</v>
      </c>
      <c r="C65" s="25">
        <v>26.0</v>
      </c>
      <c r="D65" s="25">
        <v>18.0</v>
      </c>
      <c r="E65" s="25">
        <f t="shared" si="82"/>
        <v>44</v>
      </c>
      <c r="F65" s="43">
        <f t="shared" si="87"/>
        <v>0.5909090909</v>
      </c>
      <c r="G65" s="25">
        <v>17.0</v>
      </c>
      <c r="H65" s="25">
        <v>11.0</v>
      </c>
      <c r="I65" s="25">
        <v>1.0</v>
      </c>
      <c r="J65" s="25">
        <v>2.0</v>
      </c>
      <c r="K65" s="25">
        <v>0.0</v>
      </c>
      <c r="L65" s="25">
        <v>1.0</v>
      </c>
      <c r="M65" s="25">
        <v>36.0</v>
      </c>
      <c r="N65" s="25">
        <v>26.0</v>
      </c>
      <c r="O65" s="25">
        <v>8.0</v>
      </c>
      <c r="P65" s="25">
        <v>11.0</v>
      </c>
      <c r="Q65" s="25">
        <v>6.0</v>
      </c>
      <c r="R65" s="25">
        <v>9.0</v>
      </c>
      <c r="S65" s="25">
        <v>1.0</v>
      </c>
      <c r="T65" s="25">
        <v>4.0</v>
      </c>
      <c r="U65" s="25">
        <v>0.0</v>
      </c>
      <c r="V65" s="25">
        <v>1.0</v>
      </c>
      <c r="W65" s="25">
        <v>8.0</v>
      </c>
      <c r="X65" s="25">
        <v>11.0</v>
      </c>
      <c r="Y65" s="25">
        <f t="shared" ref="Y65:Z65" si="88">PRODUCT(S65,2)</f>
        <v>2</v>
      </c>
      <c r="Z65" s="25">
        <f t="shared" si="88"/>
        <v>8</v>
      </c>
      <c r="AA65" s="25">
        <f t="shared" ref="AA65:AB65" si="89">PRODUCT(U65,3)</f>
        <v>0</v>
      </c>
      <c r="AB65" s="25">
        <f t="shared" si="89"/>
        <v>3</v>
      </c>
      <c r="AC65" s="25">
        <f t="shared" ref="AC65:AD65" si="90">PRODUCT(W65,4)</f>
        <v>32</v>
      </c>
      <c r="AD65" s="25">
        <f t="shared" si="90"/>
        <v>44</v>
      </c>
      <c r="AE65" s="25">
        <f t="shared" ref="AE65:AF65" si="91">SUM(Y65,AA65,AC65)</f>
        <v>34</v>
      </c>
      <c r="AF65" s="25">
        <f t="shared" si="91"/>
        <v>55</v>
      </c>
      <c r="AG65" s="25">
        <v>137.5</v>
      </c>
    </row>
    <row r="66">
      <c r="A66" s="165" t="s">
        <v>152</v>
      </c>
      <c r="B66" s="60"/>
      <c r="C66" s="1">
        <f t="shared" ref="C66:D66" si="92">SUM(C62:C65)</f>
        <v>81</v>
      </c>
      <c r="D66" s="1">
        <f t="shared" si="92"/>
        <v>59</v>
      </c>
      <c r="E66" s="1">
        <f>SUM(E64:E65)</f>
        <v>80</v>
      </c>
      <c r="F66" s="166">
        <f>PRODUCT(C66,(1/(C66+D66)))</f>
        <v>0.5785714286</v>
      </c>
      <c r="G66" s="1">
        <f t="shared" ref="G66:AG66" si="93">SUM(G62:G65)</f>
        <v>53</v>
      </c>
      <c r="H66" s="1">
        <f t="shared" si="93"/>
        <v>28</v>
      </c>
      <c r="I66" s="1">
        <f t="shared" si="93"/>
        <v>1</v>
      </c>
      <c r="J66" s="1">
        <f t="shared" si="93"/>
        <v>2</v>
      </c>
      <c r="K66" s="1">
        <f t="shared" si="93"/>
        <v>4</v>
      </c>
      <c r="L66" s="1">
        <f t="shared" si="93"/>
        <v>5</v>
      </c>
      <c r="M66" s="1">
        <f t="shared" si="93"/>
        <v>120</v>
      </c>
      <c r="N66" s="1">
        <f t="shared" si="93"/>
        <v>71</v>
      </c>
      <c r="O66" s="1">
        <f t="shared" si="93"/>
        <v>31</v>
      </c>
      <c r="P66" s="1">
        <f t="shared" si="93"/>
        <v>39</v>
      </c>
      <c r="Q66" s="1">
        <f t="shared" si="93"/>
        <v>31</v>
      </c>
      <c r="R66" s="1">
        <f t="shared" si="93"/>
        <v>20</v>
      </c>
      <c r="S66" s="1">
        <f t="shared" si="93"/>
        <v>11</v>
      </c>
      <c r="T66" s="1">
        <f t="shared" si="93"/>
        <v>14</v>
      </c>
      <c r="U66" s="1">
        <f t="shared" si="93"/>
        <v>19</v>
      </c>
      <c r="V66" s="1">
        <f t="shared" si="93"/>
        <v>19</v>
      </c>
      <c r="W66" s="1">
        <f t="shared" si="93"/>
        <v>8</v>
      </c>
      <c r="X66" s="1">
        <f t="shared" si="93"/>
        <v>11</v>
      </c>
      <c r="Y66" s="1">
        <f t="shared" si="93"/>
        <v>18</v>
      </c>
      <c r="Z66" s="1">
        <f t="shared" si="93"/>
        <v>28</v>
      </c>
      <c r="AA66" s="1">
        <f t="shared" si="93"/>
        <v>48</v>
      </c>
      <c r="AB66" s="1">
        <f t="shared" si="93"/>
        <v>57</v>
      </c>
      <c r="AC66" s="1">
        <f t="shared" si="93"/>
        <v>32</v>
      </c>
      <c r="AD66" s="1">
        <f t="shared" si="93"/>
        <v>44</v>
      </c>
      <c r="AE66" s="1">
        <f t="shared" si="93"/>
        <v>108</v>
      </c>
      <c r="AF66" s="1">
        <f t="shared" si="93"/>
        <v>129</v>
      </c>
      <c r="AG66" s="1">
        <f t="shared" si="93"/>
        <v>451.5</v>
      </c>
    </row>
    <row r="67">
      <c r="A67" s="161"/>
      <c r="B67" s="161"/>
      <c r="C67" s="117"/>
      <c r="D67" s="117"/>
      <c r="E67" s="117"/>
      <c r="F67" s="162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</row>
    <row r="68">
      <c r="A68" s="140" t="s">
        <v>162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159"/>
    </row>
    <row r="69">
      <c r="A69" s="146" t="s">
        <v>56</v>
      </c>
      <c r="B69" s="146" t="s">
        <v>62</v>
      </c>
      <c r="C69" s="155" t="s">
        <v>34</v>
      </c>
      <c r="D69" s="160"/>
      <c r="E69" s="156"/>
      <c r="F69" s="157" t="s">
        <v>41</v>
      </c>
      <c r="G69" s="155" t="s">
        <v>48</v>
      </c>
      <c r="H69" s="160"/>
      <c r="I69" s="155" t="s">
        <v>49</v>
      </c>
      <c r="J69" s="160"/>
      <c r="K69" s="155" t="s">
        <v>63</v>
      </c>
      <c r="L69" s="160"/>
      <c r="M69" s="155" t="s">
        <v>46</v>
      </c>
      <c r="N69" s="160"/>
      <c r="O69" s="155" t="s">
        <v>64</v>
      </c>
      <c r="P69" s="160"/>
      <c r="Q69" s="155" t="s">
        <v>65</v>
      </c>
      <c r="R69" s="160"/>
      <c r="S69" s="155" t="s">
        <v>66</v>
      </c>
      <c r="T69" s="160"/>
      <c r="U69" s="155" t="s">
        <v>67</v>
      </c>
      <c r="V69" s="160"/>
      <c r="W69" s="131" t="s">
        <v>68</v>
      </c>
      <c r="X69" s="160"/>
      <c r="Y69" s="156"/>
      <c r="Z69" s="156"/>
      <c r="AA69" s="156"/>
      <c r="AB69" s="156"/>
      <c r="AC69" s="156"/>
      <c r="AD69" s="156"/>
      <c r="AE69" s="158" t="s">
        <v>74</v>
      </c>
      <c r="AF69" s="160"/>
      <c r="AG69" s="146" t="s">
        <v>52</v>
      </c>
    </row>
    <row r="70">
      <c r="A70" s="81" t="s">
        <v>51</v>
      </c>
      <c r="B70" s="81">
        <v>9.0</v>
      </c>
      <c r="C70" s="81">
        <v>11.0</v>
      </c>
      <c r="D70" s="81">
        <v>9.0</v>
      </c>
      <c r="E70" s="81"/>
      <c r="F70" s="89">
        <f>PRODUCT(C70,(1/(C70+D70)))</f>
        <v>0.55</v>
      </c>
      <c r="G70" s="81">
        <v>7.0</v>
      </c>
      <c r="H70" s="81"/>
      <c r="I70" s="81">
        <v>0.0</v>
      </c>
      <c r="J70" s="81"/>
      <c r="K70" s="81">
        <v>0.0</v>
      </c>
      <c r="L70" s="81"/>
      <c r="M70" s="81">
        <v>14.0</v>
      </c>
      <c r="N70" s="81"/>
      <c r="O70" s="81">
        <v>5.0</v>
      </c>
      <c r="P70" s="81"/>
      <c r="Q70" s="81">
        <v>1.0</v>
      </c>
      <c r="R70" s="81"/>
      <c r="S70" s="81">
        <v>0.0</v>
      </c>
      <c r="T70" s="81"/>
      <c r="U70" s="81">
        <v>1.0</v>
      </c>
      <c r="V70" s="81"/>
      <c r="W70" s="103"/>
      <c r="X70" s="103"/>
      <c r="Y70" s="81"/>
      <c r="Z70" s="81"/>
      <c r="AA70" s="81"/>
      <c r="AB70" s="81"/>
      <c r="AC70" s="81"/>
      <c r="AD70" s="81"/>
      <c r="AE70" s="81">
        <v>3.0</v>
      </c>
      <c r="AF70" s="81"/>
      <c r="AG70" s="81">
        <v>60.0</v>
      </c>
    </row>
    <row r="71">
      <c r="A71" s="25" t="s">
        <v>58</v>
      </c>
      <c r="B71" s="25">
        <v>10.0</v>
      </c>
      <c r="C71" s="25">
        <v>27.0</v>
      </c>
      <c r="D71" s="25">
        <v>11.0</v>
      </c>
      <c r="E71" s="25">
        <f t="shared" ref="E71:E72" si="98">SUM(C71:D71)</f>
        <v>38</v>
      </c>
      <c r="F71" s="82">
        <f>PRODUCT(C71,(1/E71))</f>
        <v>0.7105263158</v>
      </c>
      <c r="G71" s="25">
        <v>18.0</v>
      </c>
      <c r="H71" s="25">
        <v>8.0</v>
      </c>
      <c r="I71" s="25">
        <v>0.0</v>
      </c>
      <c r="J71" s="25">
        <v>0.0</v>
      </c>
      <c r="K71" s="25">
        <v>0.0</v>
      </c>
      <c r="L71" s="25">
        <v>2.0</v>
      </c>
      <c r="M71" s="25">
        <v>29.0</v>
      </c>
      <c r="N71" s="25">
        <v>18.0</v>
      </c>
      <c r="O71" s="25">
        <v>11.0</v>
      </c>
      <c r="P71" s="25">
        <v>11.0</v>
      </c>
      <c r="Q71" s="25">
        <v>6.0</v>
      </c>
      <c r="R71" s="25">
        <v>6.0</v>
      </c>
      <c r="S71" s="25">
        <v>6.0</v>
      </c>
      <c r="T71" s="25">
        <v>1.0</v>
      </c>
      <c r="U71" s="25">
        <v>3.0</v>
      </c>
      <c r="V71" s="25">
        <v>4.0</v>
      </c>
      <c r="W71" s="75">
        <v>0.0</v>
      </c>
      <c r="X71" s="75">
        <v>0.0</v>
      </c>
      <c r="Y71" s="25">
        <f t="shared" ref="Y71:Z71" si="94">PRODUCT(S71,2)</f>
        <v>12</v>
      </c>
      <c r="Z71" s="25">
        <f t="shared" si="94"/>
        <v>2</v>
      </c>
      <c r="AA71" s="25">
        <f t="shared" ref="AA71:AB71" si="95">PRODUCT(U71,3)</f>
        <v>9</v>
      </c>
      <c r="AB71" s="25">
        <f t="shared" si="95"/>
        <v>12</v>
      </c>
      <c r="AC71" s="25">
        <f t="shared" ref="AC71:AD71" si="96">PRODUCT(W71,4)</f>
        <v>0</v>
      </c>
      <c r="AD71" s="25">
        <f t="shared" si="96"/>
        <v>0</v>
      </c>
      <c r="AE71" s="25">
        <f t="shared" ref="AE71:AF71" si="97">SUM(Y71,AA71,AC71)</f>
        <v>21</v>
      </c>
      <c r="AF71" s="25">
        <f t="shared" si="97"/>
        <v>14</v>
      </c>
      <c r="AG71" s="25">
        <v>114.0</v>
      </c>
    </row>
    <row r="72">
      <c r="A72" s="81" t="s">
        <v>59</v>
      </c>
      <c r="B72" s="13">
        <v>11.0</v>
      </c>
      <c r="C72" s="13">
        <v>25.0</v>
      </c>
      <c r="D72" s="13">
        <v>12.0</v>
      </c>
      <c r="E72" s="13">
        <f t="shared" si="98"/>
        <v>37</v>
      </c>
      <c r="F72" s="42">
        <f>PRODUCT(C72, (1/E72))</f>
        <v>0.6756756757</v>
      </c>
      <c r="G72" s="13">
        <v>15.0</v>
      </c>
      <c r="H72" s="13">
        <v>8.0</v>
      </c>
      <c r="I72" s="13">
        <v>0.0</v>
      </c>
      <c r="J72" s="13">
        <v>0.0</v>
      </c>
      <c r="K72" s="13">
        <v>0.0</v>
      </c>
      <c r="L72" s="13">
        <v>0.0</v>
      </c>
      <c r="M72" s="13">
        <v>34.0</v>
      </c>
      <c r="N72" s="13">
        <v>11.0</v>
      </c>
      <c r="O72" s="13">
        <v>7.0</v>
      </c>
      <c r="P72" s="13">
        <v>10.0</v>
      </c>
      <c r="Q72" s="13">
        <v>1.0</v>
      </c>
      <c r="R72" s="13">
        <v>7.0</v>
      </c>
      <c r="S72" s="13">
        <v>7.0</v>
      </c>
      <c r="T72" s="13">
        <v>2.0</v>
      </c>
      <c r="U72" s="13">
        <v>5.0</v>
      </c>
      <c r="V72" s="13">
        <v>3.0</v>
      </c>
      <c r="W72" s="81">
        <v>0.0</v>
      </c>
      <c r="X72" s="81">
        <v>0.0</v>
      </c>
      <c r="Y72" s="13">
        <f t="shared" ref="Y72:Z72" si="99">PRODUCT(S72,2)</f>
        <v>14</v>
      </c>
      <c r="Z72" s="13">
        <f t="shared" si="99"/>
        <v>4</v>
      </c>
      <c r="AA72" s="13">
        <f t="shared" ref="AA72:AB72" si="100">PRODUCT(U72,3)</f>
        <v>15</v>
      </c>
      <c r="AB72" s="13">
        <f t="shared" si="100"/>
        <v>9</v>
      </c>
      <c r="AC72" s="13">
        <f t="shared" ref="AC72:AD72" si="101">PRODUCT(W72,4)</f>
        <v>0</v>
      </c>
      <c r="AD72" s="13">
        <f t="shared" si="101"/>
        <v>0</v>
      </c>
      <c r="AE72" s="13">
        <f t="shared" ref="AE72:AF72" si="102">SUM(Y72,AA72,AC72)</f>
        <v>29</v>
      </c>
      <c r="AF72" s="13">
        <f t="shared" si="102"/>
        <v>13</v>
      </c>
      <c r="AG72" s="13">
        <v>143.0</v>
      </c>
    </row>
    <row r="73">
      <c r="A73" s="135" t="s">
        <v>152</v>
      </c>
      <c r="B73" s="20"/>
      <c r="C73" s="11">
        <f t="shared" ref="C73:D73" si="103">SUM(C70:C72)</f>
        <v>63</v>
      </c>
      <c r="D73" s="11">
        <f t="shared" si="103"/>
        <v>32</v>
      </c>
      <c r="E73" s="11">
        <f>SUM(E71:E72)</f>
        <v>75</v>
      </c>
      <c r="F73" s="137">
        <f>PRODUCT(C73,(1/(C73+D73)))</f>
        <v>0.6631578947</v>
      </c>
      <c r="G73" s="11">
        <f t="shared" ref="G73:AG73" si="104">SUM(G70:G72)</f>
        <v>40</v>
      </c>
      <c r="H73" s="11">
        <f t="shared" si="104"/>
        <v>16</v>
      </c>
      <c r="I73" s="11">
        <f t="shared" si="104"/>
        <v>0</v>
      </c>
      <c r="J73" s="11">
        <f t="shared" si="104"/>
        <v>0</v>
      </c>
      <c r="K73" s="11">
        <f t="shared" si="104"/>
        <v>0</v>
      </c>
      <c r="L73" s="11">
        <f t="shared" si="104"/>
        <v>2</v>
      </c>
      <c r="M73" s="11">
        <f t="shared" si="104"/>
        <v>77</v>
      </c>
      <c r="N73" s="11">
        <f t="shared" si="104"/>
        <v>29</v>
      </c>
      <c r="O73" s="11">
        <f t="shared" si="104"/>
        <v>23</v>
      </c>
      <c r="P73" s="11">
        <f t="shared" si="104"/>
        <v>21</v>
      </c>
      <c r="Q73" s="11">
        <f t="shared" si="104"/>
        <v>8</v>
      </c>
      <c r="R73" s="11">
        <f t="shared" si="104"/>
        <v>13</v>
      </c>
      <c r="S73" s="11">
        <f t="shared" si="104"/>
        <v>13</v>
      </c>
      <c r="T73" s="11">
        <f t="shared" si="104"/>
        <v>3</v>
      </c>
      <c r="U73" s="11">
        <f t="shared" si="104"/>
        <v>9</v>
      </c>
      <c r="V73" s="11">
        <f t="shared" si="104"/>
        <v>7</v>
      </c>
      <c r="W73" s="11">
        <f t="shared" si="104"/>
        <v>0</v>
      </c>
      <c r="X73" s="11">
        <f t="shared" si="104"/>
        <v>0</v>
      </c>
      <c r="Y73" s="11">
        <f t="shared" si="104"/>
        <v>26</v>
      </c>
      <c r="Z73" s="11">
        <f t="shared" si="104"/>
        <v>6</v>
      </c>
      <c r="AA73" s="11">
        <f t="shared" si="104"/>
        <v>24</v>
      </c>
      <c r="AB73" s="11">
        <f t="shared" si="104"/>
        <v>21</v>
      </c>
      <c r="AC73" s="11">
        <f t="shared" si="104"/>
        <v>0</v>
      </c>
      <c r="AD73" s="11">
        <f t="shared" si="104"/>
        <v>0</v>
      </c>
      <c r="AE73" s="11">
        <f t="shared" si="104"/>
        <v>53</v>
      </c>
      <c r="AF73" s="11">
        <f t="shared" si="104"/>
        <v>27</v>
      </c>
      <c r="AG73" s="11">
        <f t="shared" si="104"/>
        <v>317</v>
      </c>
    </row>
    <row r="74">
      <c r="A74" s="161"/>
      <c r="B74" s="161"/>
      <c r="C74" s="117"/>
      <c r="D74" s="117"/>
      <c r="E74" s="117"/>
      <c r="F74" s="162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</row>
    <row r="75">
      <c r="A75" s="140" t="s">
        <v>163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59"/>
    </row>
    <row r="76">
      <c r="A76" s="146" t="s">
        <v>56</v>
      </c>
      <c r="B76" s="146" t="s">
        <v>62</v>
      </c>
      <c r="C76" s="155" t="s">
        <v>34</v>
      </c>
      <c r="D76" s="132"/>
      <c r="E76" s="156"/>
      <c r="F76" s="157" t="s">
        <v>41</v>
      </c>
      <c r="G76" s="155" t="s">
        <v>48</v>
      </c>
      <c r="H76" s="132"/>
      <c r="I76" s="155" t="s">
        <v>49</v>
      </c>
      <c r="J76" s="132"/>
      <c r="K76" s="155" t="s">
        <v>63</v>
      </c>
      <c r="L76" s="132"/>
      <c r="M76" s="155" t="s">
        <v>46</v>
      </c>
      <c r="N76" s="132"/>
      <c r="O76" s="155" t="s">
        <v>64</v>
      </c>
      <c r="P76" s="132"/>
      <c r="Q76" s="155" t="s">
        <v>65</v>
      </c>
      <c r="R76" s="132"/>
      <c r="S76" s="155" t="s">
        <v>66</v>
      </c>
      <c r="T76" s="132"/>
      <c r="U76" s="155" t="s">
        <v>67</v>
      </c>
      <c r="V76" s="132"/>
      <c r="W76" s="131" t="s">
        <v>68</v>
      </c>
      <c r="X76" s="132"/>
      <c r="Y76" s="156"/>
      <c r="Z76" s="156"/>
      <c r="AA76" s="156"/>
      <c r="AB76" s="156"/>
      <c r="AC76" s="156"/>
      <c r="AD76" s="156"/>
      <c r="AE76" s="158" t="s">
        <v>74</v>
      </c>
      <c r="AF76" s="132"/>
      <c r="AG76" s="146" t="s">
        <v>52</v>
      </c>
    </row>
    <row r="77">
      <c r="A77" s="81" t="s">
        <v>50</v>
      </c>
      <c r="B77" s="13">
        <v>12.0</v>
      </c>
      <c r="C77" s="13">
        <v>6.0</v>
      </c>
      <c r="D77" s="13">
        <v>4.0</v>
      </c>
      <c r="E77" s="13">
        <f>SUM(C77:D77)</f>
        <v>10</v>
      </c>
      <c r="F77" s="42">
        <f>PRODUCT(C77, (1/E77))</f>
        <v>0.6</v>
      </c>
      <c r="G77" s="13">
        <v>3.0</v>
      </c>
      <c r="H77" s="13">
        <v>2.0</v>
      </c>
      <c r="I77" s="13">
        <v>0.0</v>
      </c>
      <c r="J77" s="13">
        <v>0.0</v>
      </c>
      <c r="K77" s="13">
        <v>0.0</v>
      </c>
      <c r="L77" s="13">
        <v>5.0</v>
      </c>
      <c r="M77" s="13">
        <v>7.0</v>
      </c>
      <c r="N77" s="13">
        <v>9.0</v>
      </c>
      <c r="O77" s="13">
        <v>6.0</v>
      </c>
      <c r="P77" s="13">
        <v>3.0</v>
      </c>
      <c r="Q77" s="13">
        <v>0.0</v>
      </c>
      <c r="R77" s="13">
        <v>1.0</v>
      </c>
      <c r="S77" s="13">
        <v>0.0</v>
      </c>
      <c r="T77" s="13">
        <v>1.0</v>
      </c>
      <c r="U77" s="13">
        <v>0.0</v>
      </c>
      <c r="V77" s="13">
        <v>0.0</v>
      </c>
      <c r="W77" s="13">
        <v>0.0</v>
      </c>
      <c r="X77" s="13">
        <v>0.0</v>
      </c>
      <c r="Y77" s="13">
        <f t="shared" ref="Y77:Z77" si="105">PRODUCT(S77,2)</f>
        <v>0</v>
      </c>
      <c r="Z77" s="13">
        <f t="shared" si="105"/>
        <v>2</v>
      </c>
      <c r="AA77" s="13">
        <f t="shared" ref="AA77:AB77" si="106">PRODUCT(U77,3)</f>
        <v>0</v>
      </c>
      <c r="AB77" s="13">
        <f t="shared" si="106"/>
        <v>0</v>
      </c>
      <c r="AC77" s="13">
        <f t="shared" ref="AC77:AD77" si="107">PRODUCT(W77,4)</f>
        <v>0</v>
      </c>
      <c r="AD77" s="13">
        <f t="shared" si="107"/>
        <v>0</v>
      </c>
      <c r="AE77" s="13">
        <f t="shared" ref="AE77:AF77" si="108">SUM(Y77,AA77,AC77)</f>
        <v>0</v>
      </c>
      <c r="AF77" s="13">
        <f t="shared" si="108"/>
        <v>2</v>
      </c>
      <c r="AG77" s="13">
        <v>35.0</v>
      </c>
    </row>
    <row r="78">
      <c r="A78" s="135" t="s">
        <v>152</v>
      </c>
      <c r="B78" s="60"/>
      <c r="C78" s="11">
        <f t="shared" ref="C78:E78" si="109">SUM(C77)</f>
        <v>6</v>
      </c>
      <c r="D78" s="11">
        <f t="shared" si="109"/>
        <v>4</v>
      </c>
      <c r="E78" s="11">
        <f t="shared" si="109"/>
        <v>10</v>
      </c>
      <c r="F78" s="137">
        <f>PRODUCT(C78,(1/(C78+D78)))</f>
        <v>0.6</v>
      </c>
      <c r="G78" s="11">
        <f t="shared" ref="G78:AG78" si="110">SUM(G77)</f>
        <v>3</v>
      </c>
      <c r="H78" s="11">
        <f t="shared" si="110"/>
        <v>2</v>
      </c>
      <c r="I78" s="11">
        <f t="shared" si="110"/>
        <v>0</v>
      </c>
      <c r="J78" s="11">
        <f t="shared" si="110"/>
        <v>0</v>
      </c>
      <c r="K78" s="11">
        <f t="shared" si="110"/>
        <v>0</v>
      </c>
      <c r="L78" s="11">
        <f t="shared" si="110"/>
        <v>5</v>
      </c>
      <c r="M78" s="11">
        <f t="shared" si="110"/>
        <v>7</v>
      </c>
      <c r="N78" s="11">
        <f t="shared" si="110"/>
        <v>9</v>
      </c>
      <c r="O78" s="11">
        <f t="shared" si="110"/>
        <v>6</v>
      </c>
      <c r="P78" s="11">
        <f t="shared" si="110"/>
        <v>3</v>
      </c>
      <c r="Q78" s="11">
        <f t="shared" si="110"/>
        <v>0</v>
      </c>
      <c r="R78" s="11">
        <f t="shared" si="110"/>
        <v>1</v>
      </c>
      <c r="S78" s="11">
        <f t="shared" si="110"/>
        <v>0</v>
      </c>
      <c r="T78" s="11">
        <f t="shared" si="110"/>
        <v>1</v>
      </c>
      <c r="U78" s="11">
        <f t="shared" si="110"/>
        <v>0</v>
      </c>
      <c r="V78" s="11">
        <f t="shared" si="110"/>
        <v>0</v>
      </c>
      <c r="W78" s="11">
        <f t="shared" si="110"/>
        <v>0</v>
      </c>
      <c r="X78" s="11">
        <f t="shared" si="110"/>
        <v>0</v>
      </c>
      <c r="Y78" s="11">
        <f t="shared" si="110"/>
        <v>0</v>
      </c>
      <c r="Z78" s="11">
        <f t="shared" si="110"/>
        <v>2</v>
      </c>
      <c r="AA78" s="11">
        <f t="shared" si="110"/>
        <v>0</v>
      </c>
      <c r="AB78" s="11">
        <f t="shared" si="110"/>
        <v>0</v>
      </c>
      <c r="AC78" s="11">
        <f t="shared" si="110"/>
        <v>0</v>
      </c>
      <c r="AD78" s="11">
        <f t="shared" si="110"/>
        <v>0</v>
      </c>
      <c r="AE78" s="11">
        <f t="shared" si="110"/>
        <v>0</v>
      </c>
      <c r="AF78" s="11">
        <f t="shared" si="110"/>
        <v>2</v>
      </c>
      <c r="AG78" s="11">
        <f t="shared" si="110"/>
        <v>35</v>
      </c>
    </row>
    <row r="79">
      <c r="A79" s="161"/>
      <c r="B79" s="161"/>
      <c r="C79" s="117"/>
      <c r="D79" s="117"/>
      <c r="E79" s="117"/>
      <c r="F79" s="162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</row>
    <row r="80">
      <c r="A80" s="140" t="s">
        <v>164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159"/>
    </row>
    <row r="81">
      <c r="A81" s="146" t="s">
        <v>56</v>
      </c>
      <c r="B81" s="146" t="s">
        <v>62</v>
      </c>
      <c r="C81" s="155" t="s">
        <v>34</v>
      </c>
      <c r="D81" s="160"/>
      <c r="E81" s="156"/>
      <c r="F81" s="157" t="s">
        <v>41</v>
      </c>
      <c r="G81" s="155" t="s">
        <v>48</v>
      </c>
      <c r="H81" s="160"/>
      <c r="I81" s="155" t="s">
        <v>49</v>
      </c>
      <c r="J81" s="160"/>
      <c r="K81" s="155" t="s">
        <v>63</v>
      </c>
      <c r="L81" s="160"/>
      <c r="M81" s="155" t="s">
        <v>46</v>
      </c>
      <c r="N81" s="160"/>
      <c r="O81" s="155" t="s">
        <v>64</v>
      </c>
      <c r="P81" s="160"/>
      <c r="Q81" s="155" t="s">
        <v>65</v>
      </c>
      <c r="R81" s="160"/>
      <c r="S81" s="155" t="s">
        <v>66</v>
      </c>
      <c r="T81" s="160"/>
      <c r="U81" s="155" t="s">
        <v>67</v>
      </c>
      <c r="V81" s="160"/>
      <c r="W81" s="131" t="s">
        <v>68</v>
      </c>
      <c r="X81" s="160"/>
      <c r="Y81" s="156"/>
      <c r="Z81" s="156"/>
      <c r="AA81" s="156"/>
      <c r="AB81" s="156"/>
      <c r="AC81" s="156"/>
      <c r="AD81" s="156"/>
      <c r="AE81" s="158" t="s">
        <v>74</v>
      </c>
      <c r="AF81" s="160"/>
      <c r="AG81" s="146" t="s">
        <v>52</v>
      </c>
    </row>
    <row r="82">
      <c r="A82" s="13" t="s">
        <v>58</v>
      </c>
      <c r="B82" s="13">
        <v>10.0</v>
      </c>
      <c r="C82" s="13">
        <v>16.0</v>
      </c>
      <c r="D82" s="13">
        <v>12.0</v>
      </c>
      <c r="E82" s="13">
        <f t="shared" ref="E82:E84" si="115">SUM(C82:D82)</f>
        <v>28</v>
      </c>
      <c r="F82" s="90">
        <f>PRODUCT(C82,(1/E82))</f>
        <v>0.5714285714</v>
      </c>
      <c r="G82" s="13">
        <v>9.0</v>
      </c>
      <c r="H82" s="13">
        <v>10.0</v>
      </c>
      <c r="I82" s="13">
        <v>0.0</v>
      </c>
      <c r="J82" s="13">
        <v>0.0</v>
      </c>
      <c r="K82" s="13">
        <v>0.0</v>
      </c>
      <c r="L82" s="13">
        <v>0.0</v>
      </c>
      <c r="M82" s="13">
        <v>8.0</v>
      </c>
      <c r="N82" s="13">
        <v>31.0</v>
      </c>
      <c r="O82" s="13">
        <v>4.0</v>
      </c>
      <c r="P82" s="13">
        <v>9.0</v>
      </c>
      <c r="Q82" s="13">
        <v>11.0</v>
      </c>
      <c r="R82" s="13">
        <v>6.0</v>
      </c>
      <c r="S82" s="13">
        <v>4.0</v>
      </c>
      <c r="T82" s="13">
        <v>3.0</v>
      </c>
      <c r="U82" s="13">
        <v>1.0</v>
      </c>
      <c r="V82" s="13">
        <v>4.0</v>
      </c>
      <c r="W82" s="81">
        <v>0.0</v>
      </c>
      <c r="X82" s="81">
        <v>0.0</v>
      </c>
      <c r="Y82" s="13">
        <f t="shared" ref="Y82:Z82" si="111">PRODUCT(S82,2)</f>
        <v>8</v>
      </c>
      <c r="Z82" s="13">
        <f t="shared" si="111"/>
        <v>6</v>
      </c>
      <c r="AA82" s="13">
        <f t="shared" ref="AA82:AB82" si="112">PRODUCT(U82,3)</f>
        <v>3</v>
      </c>
      <c r="AB82" s="13">
        <f t="shared" si="112"/>
        <v>12</v>
      </c>
      <c r="AC82" s="13">
        <f t="shared" ref="AC82:AD82" si="113">PRODUCT(W82,4)</f>
        <v>0</v>
      </c>
      <c r="AD82" s="13">
        <f t="shared" si="113"/>
        <v>0</v>
      </c>
      <c r="AE82" s="13">
        <f t="shared" ref="AE82:AF82" si="114">SUM(Y82,AA82,AC82)</f>
        <v>11</v>
      </c>
      <c r="AF82" s="13">
        <f t="shared" si="114"/>
        <v>18</v>
      </c>
      <c r="AG82" s="13">
        <v>37.0</v>
      </c>
    </row>
    <row r="83">
      <c r="A83" s="75" t="s">
        <v>59</v>
      </c>
      <c r="B83" s="25">
        <v>11.0</v>
      </c>
      <c r="C83" s="25">
        <v>16.0</v>
      </c>
      <c r="D83" s="25">
        <v>9.0</v>
      </c>
      <c r="E83" s="25">
        <f t="shared" si="115"/>
        <v>25</v>
      </c>
      <c r="F83" s="43">
        <f t="shared" ref="F83:F84" si="120">PRODUCT(C83, (1/E83))</f>
        <v>0.64</v>
      </c>
      <c r="G83" s="25">
        <v>14.0</v>
      </c>
      <c r="H83" s="25">
        <v>6.0</v>
      </c>
      <c r="I83" s="25">
        <v>0.0</v>
      </c>
      <c r="J83" s="25">
        <v>1.0</v>
      </c>
      <c r="K83" s="25">
        <v>0.0</v>
      </c>
      <c r="L83" s="25">
        <v>0.0</v>
      </c>
      <c r="M83" s="25">
        <v>12.0</v>
      </c>
      <c r="N83" s="25">
        <v>28.0</v>
      </c>
      <c r="O83" s="25">
        <v>13.0</v>
      </c>
      <c r="P83" s="25">
        <v>6.0</v>
      </c>
      <c r="Q83" s="25">
        <v>8.0</v>
      </c>
      <c r="R83" s="25">
        <v>14.0</v>
      </c>
      <c r="S83" s="25">
        <v>1.0</v>
      </c>
      <c r="T83" s="25">
        <v>2.0</v>
      </c>
      <c r="U83" s="25">
        <v>2.0</v>
      </c>
      <c r="V83" s="25">
        <v>8.0</v>
      </c>
      <c r="W83" s="75">
        <v>0.0</v>
      </c>
      <c r="X83" s="75">
        <v>0.0</v>
      </c>
      <c r="Y83" s="25">
        <f t="shared" ref="Y83:Z83" si="116">PRODUCT(S83,2)</f>
        <v>2</v>
      </c>
      <c r="Z83" s="25">
        <f t="shared" si="116"/>
        <v>4</v>
      </c>
      <c r="AA83" s="25">
        <f t="shared" ref="AA83:AB83" si="117">PRODUCT(U83,3)</f>
        <v>6</v>
      </c>
      <c r="AB83" s="25">
        <f t="shared" si="117"/>
        <v>24</v>
      </c>
      <c r="AC83" s="25">
        <f t="shared" ref="AC83:AD83" si="118">PRODUCT(W83,4)</f>
        <v>0</v>
      </c>
      <c r="AD83" s="25">
        <f t="shared" si="118"/>
        <v>0</v>
      </c>
      <c r="AE83" s="25">
        <f t="shared" ref="AE83:AF83" si="119">SUM(Y83,AA83,AC83)</f>
        <v>8</v>
      </c>
      <c r="AF83" s="25">
        <f t="shared" si="119"/>
        <v>28</v>
      </c>
      <c r="AG83" s="25">
        <v>98.0</v>
      </c>
    </row>
    <row r="84">
      <c r="A84" s="81" t="s">
        <v>50</v>
      </c>
      <c r="B84" s="13">
        <v>12.0</v>
      </c>
      <c r="C84" s="13">
        <v>32.0</v>
      </c>
      <c r="D84" s="13">
        <v>11.0</v>
      </c>
      <c r="E84" s="13">
        <f t="shared" si="115"/>
        <v>43</v>
      </c>
      <c r="F84" s="42">
        <f t="shared" si="120"/>
        <v>0.7441860465</v>
      </c>
      <c r="G84" s="13">
        <v>26.0</v>
      </c>
      <c r="H84" s="13">
        <v>3.0</v>
      </c>
      <c r="I84" s="13">
        <v>2.0</v>
      </c>
      <c r="J84" s="13">
        <v>4.0</v>
      </c>
      <c r="K84" s="13">
        <v>0.0</v>
      </c>
      <c r="L84" s="13">
        <v>0.0</v>
      </c>
      <c r="M84" s="13">
        <v>34.0</v>
      </c>
      <c r="N84" s="13">
        <v>32.0</v>
      </c>
      <c r="O84" s="13">
        <v>20.0</v>
      </c>
      <c r="P84" s="13">
        <v>10.0</v>
      </c>
      <c r="Q84" s="13">
        <v>2.0</v>
      </c>
      <c r="R84" s="13">
        <v>7.0</v>
      </c>
      <c r="S84" s="13">
        <v>3.0</v>
      </c>
      <c r="T84" s="13">
        <v>0.0</v>
      </c>
      <c r="U84" s="13">
        <v>0.0</v>
      </c>
      <c r="V84" s="13">
        <v>2.0</v>
      </c>
      <c r="W84" s="13">
        <v>10.0</v>
      </c>
      <c r="X84" s="13">
        <v>10.0</v>
      </c>
      <c r="Y84" s="13">
        <f t="shared" ref="Y84:Z84" si="121">PRODUCT(S84,2)</f>
        <v>6</v>
      </c>
      <c r="Z84" s="13">
        <f t="shared" si="121"/>
        <v>0</v>
      </c>
      <c r="AA84" s="13">
        <f t="shared" ref="AA84:AB84" si="122">PRODUCT(U84,3)</f>
        <v>0</v>
      </c>
      <c r="AB84" s="13">
        <f t="shared" si="122"/>
        <v>6</v>
      </c>
      <c r="AC84" s="13">
        <f t="shared" ref="AC84:AD84" si="123">PRODUCT(W84,4)</f>
        <v>40</v>
      </c>
      <c r="AD84" s="13">
        <f t="shared" si="123"/>
        <v>40</v>
      </c>
      <c r="AE84" s="13">
        <f t="shared" ref="AE84:AF84" si="124">SUM(Y84,AA84,AC84)</f>
        <v>46</v>
      </c>
      <c r="AF84" s="13">
        <f t="shared" si="124"/>
        <v>46</v>
      </c>
      <c r="AG84" s="13">
        <v>174.0</v>
      </c>
    </row>
    <row r="85">
      <c r="A85" s="135" t="s">
        <v>152</v>
      </c>
      <c r="B85" s="20"/>
      <c r="C85" s="11">
        <f t="shared" ref="C85:D85" si="125">SUM(C82:C84)</f>
        <v>64</v>
      </c>
      <c r="D85" s="11">
        <f t="shared" si="125"/>
        <v>32</v>
      </c>
      <c r="E85" s="11">
        <f>SUM(E84)</f>
        <v>43</v>
      </c>
      <c r="F85" s="137">
        <f>PRODUCT(C85,(1/(C85+D85)))</f>
        <v>0.6666666667</v>
      </c>
      <c r="G85" s="11">
        <f t="shared" ref="G85:AG85" si="126">SUM(G82:G84)</f>
        <v>49</v>
      </c>
      <c r="H85" s="11">
        <f t="shared" si="126"/>
        <v>19</v>
      </c>
      <c r="I85" s="11">
        <f t="shared" si="126"/>
        <v>2</v>
      </c>
      <c r="J85" s="11">
        <f t="shared" si="126"/>
        <v>5</v>
      </c>
      <c r="K85" s="11">
        <f t="shared" si="126"/>
        <v>0</v>
      </c>
      <c r="L85" s="11">
        <f t="shared" si="126"/>
        <v>0</v>
      </c>
      <c r="M85" s="11">
        <f t="shared" si="126"/>
        <v>54</v>
      </c>
      <c r="N85" s="11">
        <f t="shared" si="126"/>
        <v>91</v>
      </c>
      <c r="O85" s="11">
        <f t="shared" si="126"/>
        <v>37</v>
      </c>
      <c r="P85" s="11">
        <f t="shared" si="126"/>
        <v>25</v>
      </c>
      <c r="Q85" s="11">
        <f t="shared" si="126"/>
        <v>21</v>
      </c>
      <c r="R85" s="11">
        <f t="shared" si="126"/>
        <v>27</v>
      </c>
      <c r="S85" s="11">
        <f t="shared" si="126"/>
        <v>8</v>
      </c>
      <c r="T85" s="11">
        <f t="shared" si="126"/>
        <v>5</v>
      </c>
      <c r="U85" s="11">
        <f t="shared" si="126"/>
        <v>3</v>
      </c>
      <c r="V85" s="11">
        <f t="shared" si="126"/>
        <v>14</v>
      </c>
      <c r="W85" s="11">
        <f t="shared" si="126"/>
        <v>10</v>
      </c>
      <c r="X85" s="11">
        <f t="shared" si="126"/>
        <v>10</v>
      </c>
      <c r="Y85" s="11">
        <f t="shared" si="126"/>
        <v>16</v>
      </c>
      <c r="Z85" s="11">
        <f t="shared" si="126"/>
        <v>10</v>
      </c>
      <c r="AA85" s="11">
        <f t="shared" si="126"/>
        <v>9</v>
      </c>
      <c r="AB85" s="11">
        <f t="shared" si="126"/>
        <v>42</v>
      </c>
      <c r="AC85" s="11">
        <f t="shared" si="126"/>
        <v>40</v>
      </c>
      <c r="AD85" s="11">
        <f t="shared" si="126"/>
        <v>40</v>
      </c>
      <c r="AE85" s="11">
        <f t="shared" si="126"/>
        <v>65</v>
      </c>
      <c r="AF85" s="11">
        <f t="shared" si="126"/>
        <v>92</v>
      </c>
      <c r="AG85" s="11">
        <f t="shared" si="126"/>
        <v>309</v>
      </c>
    </row>
    <row r="86">
      <c r="A86" s="161"/>
      <c r="B86" s="161"/>
      <c r="C86" s="117"/>
      <c r="D86" s="117"/>
      <c r="E86" s="117"/>
      <c r="F86" s="162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</row>
    <row r="87">
      <c r="A87" s="140" t="s">
        <v>165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59"/>
    </row>
    <row r="88">
      <c r="A88" s="146" t="s">
        <v>56</v>
      </c>
      <c r="B88" s="146" t="s">
        <v>62</v>
      </c>
      <c r="C88" s="155" t="s">
        <v>34</v>
      </c>
      <c r="D88" s="132"/>
      <c r="E88" s="156"/>
      <c r="F88" s="157" t="s">
        <v>41</v>
      </c>
      <c r="G88" s="155" t="s">
        <v>48</v>
      </c>
      <c r="H88" s="132"/>
      <c r="I88" s="155" t="s">
        <v>49</v>
      </c>
      <c r="J88" s="132"/>
      <c r="K88" s="155" t="s">
        <v>63</v>
      </c>
      <c r="L88" s="132"/>
      <c r="M88" s="155" t="s">
        <v>46</v>
      </c>
      <c r="N88" s="132"/>
      <c r="O88" s="155" t="s">
        <v>64</v>
      </c>
      <c r="P88" s="132"/>
      <c r="Q88" s="155" t="s">
        <v>65</v>
      </c>
      <c r="R88" s="132"/>
      <c r="S88" s="155" t="s">
        <v>66</v>
      </c>
      <c r="T88" s="132"/>
      <c r="U88" s="155" t="s">
        <v>67</v>
      </c>
      <c r="V88" s="132"/>
      <c r="W88" s="131" t="s">
        <v>68</v>
      </c>
      <c r="X88" s="132"/>
      <c r="Y88" s="156"/>
      <c r="Z88" s="156"/>
      <c r="AA88" s="156"/>
      <c r="AB88" s="156"/>
      <c r="AC88" s="156"/>
      <c r="AD88" s="156"/>
      <c r="AE88" s="158" t="s">
        <v>74</v>
      </c>
      <c r="AF88" s="132"/>
      <c r="AG88" s="146" t="s">
        <v>52</v>
      </c>
    </row>
    <row r="89">
      <c r="A89" s="13" t="s">
        <v>58</v>
      </c>
      <c r="B89" s="13">
        <v>10.0</v>
      </c>
      <c r="C89" s="13">
        <v>14.0</v>
      </c>
      <c r="D89" s="13">
        <v>5.0</v>
      </c>
      <c r="E89" s="13">
        <f t="shared" ref="E89:E91" si="131">SUM(C89:D89)</f>
        <v>19</v>
      </c>
      <c r="F89" s="90">
        <f>PRODUCT(C89,(1/E89))</f>
        <v>0.7368421053</v>
      </c>
      <c r="G89" s="13">
        <v>8.0</v>
      </c>
      <c r="H89" s="13">
        <v>4.0</v>
      </c>
      <c r="I89" s="13">
        <v>0.0</v>
      </c>
      <c r="J89" s="13">
        <v>0.0</v>
      </c>
      <c r="K89" s="13">
        <v>0.0</v>
      </c>
      <c r="L89" s="13">
        <v>0.0</v>
      </c>
      <c r="M89" s="13">
        <v>13.0</v>
      </c>
      <c r="N89" s="13">
        <v>14.0</v>
      </c>
      <c r="O89" s="13">
        <v>8.0</v>
      </c>
      <c r="P89" s="13">
        <v>2.0</v>
      </c>
      <c r="Q89" s="13">
        <v>2.0</v>
      </c>
      <c r="R89" s="13">
        <v>3.0</v>
      </c>
      <c r="S89" s="13">
        <v>0.0</v>
      </c>
      <c r="T89" s="13">
        <v>0.0</v>
      </c>
      <c r="U89" s="13">
        <v>4.0</v>
      </c>
      <c r="V89" s="13">
        <v>0.0</v>
      </c>
      <c r="W89" s="81">
        <v>0.0</v>
      </c>
      <c r="X89" s="81">
        <v>0.0</v>
      </c>
      <c r="Y89" s="13">
        <f t="shared" ref="Y89:Z89" si="127">PRODUCT(S89,2)</f>
        <v>0</v>
      </c>
      <c r="Z89" s="13">
        <f t="shared" si="127"/>
        <v>0</v>
      </c>
      <c r="AA89" s="13">
        <f t="shared" ref="AA89:AB89" si="128">PRODUCT(U89,3)</f>
        <v>12</v>
      </c>
      <c r="AB89" s="13">
        <f t="shared" si="128"/>
        <v>0</v>
      </c>
      <c r="AC89" s="13">
        <f t="shared" ref="AC89:AD89" si="129">PRODUCT(W89,4)</f>
        <v>0</v>
      </c>
      <c r="AD89" s="13">
        <f t="shared" si="129"/>
        <v>0</v>
      </c>
      <c r="AE89" s="13">
        <f t="shared" ref="AE89:AF89" si="130">SUM(Y89,AA89,AC89)</f>
        <v>12</v>
      </c>
      <c r="AF89" s="13">
        <f t="shared" si="130"/>
        <v>0</v>
      </c>
      <c r="AG89" s="13">
        <v>44.0</v>
      </c>
    </row>
    <row r="90">
      <c r="A90" s="75" t="s">
        <v>59</v>
      </c>
      <c r="B90" s="25">
        <v>11.0</v>
      </c>
      <c r="C90" s="25">
        <v>9.0</v>
      </c>
      <c r="D90" s="25">
        <v>6.0</v>
      </c>
      <c r="E90" s="25">
        <f t="shared" si="131"/>
        <v>15</v>
      </c>
      <c r="F90" s="43">
        <f t="shared" ref="F90:F91" si="136">PRODUCT(C90, (1/E90))</f>
        <v>0.6</v>
      </c>
      <c r="G90" s="25">
        <v>8.0</v>
      </c>
      <c r="H90" s="25">
        <v>4.0</v>
      </c>
      <c r="I90" s="25">
        <v>0.0</v>
      </c>
      <c r="J90" s="25">
        <v>0.0</v>
      </c>
      <c r="K90" s="25">
        <v>0.0</v>
      </c>
      <c r="L90" s="25">
        <v>1.0</v>
      </c>
      <c r="M90" s="25">
        <v>10.0</v>
      </c>
      <c r="N90" s="25">
        <v>13.0</v>
      </c>
      <c r="O90" s="25">
        <v>7.0</v>
      </c>
      <c r="P90" s="25">
        <v>2.0</v>
      </c>
      <c r="Q90" s="25">
        <v>1.0</v>
      </c>
      <c r="R90" s="25">
        <v>3.0</v>
      </c>
      <c r="S90" s="25">
        <v>1.0</v>
      </c>
      <c r="T90" s="25">
        <v>1.0</v>
      </c>
      <c r="U90" s="25">
        <v>2.0</v>
      </c>
      <c r="V90" s="25">
        <v>4.0</v>
      </c>
      <c r="W90" s="75">
        <v>0.0</v>
      </c>
      <c r="X90" s="75">
        <v>0.0</v>
      </c>
      <c r="Y90" s="25">
        <f t="shared" ref="Y90:Z90" si="132">PRODUCT(S90,2)</f>
        <v>2</v>
      </c>
      <c r="Z90" s="25">
        <f t="shared" si="132"/>
        <v>2</v>
      </c>
      <c r="AA90" s="25">
        <f t="shared" ref="AA90:AB90" si="133">PRODUCT(U90,3)</f>
        <v>6</v>
      </c>
      <c r="AB90" s="25">
        <f t="shared" si="133"/>
        <v>12</v>
      </c>
      <c r="AC90" s="25">
        <f t="shared" ref="AC90:AD90" si="134">PRODUCT(W90,4)</f>
        <v>0</v>
      </c>
      <c r="AD90" s="25">
        <f t="shared" si="134"/>
        <v>0</v>
      </c>
      <c r="AE90" s="25">
        <f t="shared" ref="AE90:AF90" si="135">SUM(Y90,AA90,AC90)</f>
        <v>8</v>
      </c>
      <c r="AF90" s="25">
        <f t="shared" si="135"/>
        <v>14</v>
      </c>
      <c r="AG90" s="25">
        <v>38.0</v>
      </c>
    </row>
    <row r="91">
      <c r="A91" s="81" t="s">
        <v>50</v>
      </c>
      <c r="B91" s="13">
        <v>12.0</v>
      </c>
      <c r="C91" s="13">
        <v>18.0</v>
      </c>
      <c r="D91" s="13">
        <v>22.0</v>
      </c>
      <c r="E91" s="13">
        <f t="shared" si="131"/>
        <v>40</v>
      </c>
      <c r="F91" s="42">
        <f t="shared" si="136"/>
        <v>0.45</v>
      </c>
      <c r="G91" s="13">
        <v>13.0</v>
      </c>
      <c r="H91" s="13">
        <v>10.0</v>
      </c>
      <c r="I91" s="13">
        <v>0.0</v>
      </c>
      <c r="J91" s="13">
        <v>2.0</v>
      </c>
      <c r="K91" s="13">
        <v>0.0</v>
      </c>
      <c r="L91" s="13">
        <v>0.0</v>
      </c>
      <c r="M91" s="13">
        <v>22.0</v>
      </c>
      <c r="N91" s="13">
        <v>72.0</v>
      </c>
      <c r="O91" s="13">
        <v>58.0</v>
      </c>
      <c r="P91" s="13">
        <v>13.0</v>
      </c>
      <c r="Q91" s="13">
        <v>3.0</v>
      </c>
      <c r="R91" s="13">
        <v>8.0</v>
      </c>
      <c r="S91" s="13">
        <v>3.0</v>
      </c>
      <c r="T91" s="13">
        <v>1.0</v>
      </c>
      <c r="U91" s="13">
        <v>1.0</v>
      </c>
      <c r="V91" s="13">
        <v>1.0</v>
      </c>
      <c r="W91" s="13">
        <v>0.0</v>
      </c>
      <c r="X91" s="13">
        <v>6.0</v>
      </c>
      <c r="Y91" s="13">
        <f t="shared" ref="Y91:Z91" si="137">PRODUCT(S91,2)</f>
        <v>6</v>
      </c>
      <c r="Z91" s="13">
        <f t="shared" si="137"/>
        <v>2</v>
      </c>
      <c r="AA91" s="13">
        <f t="shared" ref="AA91:AB91" si="138">PRODUCT(U91,3)</f>
        <v>3</v>
      </c>
      <c r="AB91" s="13">
        <f t="shared" si="138"/>
        <v>3</v>
      </c>
      <c r="AC91" s="13">
        <f t="shared" ref="AC91:AD91" si="139">PRODUCT(W91,4)</f>
        <v>0</v>
      </c>
      <c r="AD91" s="13">
        <f t="shared" si="139"/>
        <v>24</v>
      </c>
      <c r="AE91" s="13">
        <f t="shared" ref="AE91:AF91" si="140">SUM(Y91,AA91,AC91)</f>
        <v>9</v>
      </c>
      <c r="AF91" s="13">
        <f t="shared" si="140"/>
        <v>29</v>
      </c>
      <c r="AG91" s="13">
        <v>69.0</v>
      </c>
    </row>
    <row r="92">
      <c r="A92" s="135" t="s">
        <v>152</v>
      </c>
      <c r="B92" s="60"/>
      <c r="C92" s="11">
        <f t="shared" ref="C92:D92" si="141">SUM(C89:C91)</f>
        <v>41</v>
      </c>
      <c r="D92" s="11">
        <f t="shared" si="141"/>
        <v>33</v>
      </c>
      <c r="E92" s="11">
        <f>SUM(E91)</f>
        <v>40</v>
      </c>
      <c r="F92" s="137">
        <f>PRODUCT(C92,(1/(C92+D92)))</f>
        <v>0.5540540541</v>
      </c>
      <c r="G92" s="11">
        <f t="shared" ref="G92:AG92" si="142">SUM(G89:G91)</f>
        <v>29</v>
      </c>
      <c r="H92" s="11">
        <f t="shared" si="142"/>
        <v>18</v>
      </c>
      <c r="I92" s="11">
        <f t="shared" si="142"/>
        <v>0</v>
      </c>
      <c r="J92" s="11">
        <f t="shared" si="142"/>
        <v>2</v>
      </c>
      <c r="K92" s="11">
        <f t="shared" si="142"/>
        <v>0</v>
      </c>
      <c r="L92" s="11">
        <f t="shared" si="142"/>
        <v>1</v>
      </c>
      <c r="M92" s="11">
        <f t="shared" si="142"/>
        <v>45</v>
      </c>
      <c r="N92" s="11">
        <f t="shared" si="142"/>
        <v>99</v>
      </c>
      <c r="O92" s="11">
        <f t="shared" si="142"/>
        <v>73</v>
      </c>
      <c r="P92" s="11">
        <f t="shared" si="142"/>
        <v>17</v>
      </c>
      <c r="Q92" s="11">
        <f t="shared" si="142"/>
        <v>6</v>
      </c>
      <c r="R92" s="11">
        <f t="shared" si="142"/>
        <v>14</v>
      </c>
      <c r="S92" s="11">
        <f t="shared" si="142"/>
        <v>4</v>
      </c>
      <c r="T92" s="11">
        <f t="shared" si="142"/>
        <v>2</v>
      </c>
      <c r="U92" s="11">
        <f t="shared" si="142"/>
        <v>7</v>
      </c>
      <c r="V92" s="11">
        <f t="shared" si="142"/>
        <v>5</v>
      </c>
      <c r="W92" s="11">
        <f t="shared" si="142"/>
        <v>0</v>
      </c>
      <c r="X92" s="11">
        <f t="shared" si="142"/>
        <v>6</v>
      </c>
      <c r="Y92" s="11">
        <f t="shared" si="142"/>
        <v>8</v>
      </c>
      <c r="Z92" s="11">
        <f t="shared" si="142"/>
        <v>4</v>
      </c>
      <c r="AA92" s="11">
        <f t="shared" si="142"/>
        <v>21</v>
      </c>
      <c r="AB92" s="11">
        <f t="shared" si="142"/>
        <v>15</v>
      </c>
      <c r="AC92" s="11">
        <f t="shared" si="142"/>
        <v>0</v>
      </c>
      <c r="AD92" s="11">
        <f t="shared" si="142"/>
        <v>24</v>
      </c>
      <c r="AE92" s="11">
        <f t="shared" si="142"/>
        <v>29</v>
      </c>
      <c r="AF92" s="11">
        <f t="shared" si="142"/>
        <v>43</v>
      </c>
      <c r="AG92" s="11">
        <f t="shared" si="142"/>
        <v>151</v>
      </c>
    </row>
    <row r="93">
      <c r="A93" s="161"/>
      <c r="B93" s="161"/>
      <c r="C93" s="117"/>
      <c r="D93" s="117"/>
      <c r="E93" s="117"/>
      <c r="F93" s="162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</row>
    <row r="94">
      <c r="A94" s="140" t="s">
        <v>166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159"/>
    </row>
    <row r="95">
      <c r="A95" s="146" t="s">
        <v>56</v>
      </c>
      <c r="B95" s="146" t="s">
        <v>62</v>
      </c>
      <c r="C95" s="155" t="s">
        <v>34</v>
      </c>
      <c r="D95" s="160"/>
      <c r="E95" s="156"/>
      <c r="F95" s="157" t="s">
        <v>41</v>
      </c>
      <c r="G95" s="155" t="s">
        <v>48</v>
      </c>
      <c r="H95" s="160"/>
      <c r="I95" s="155" t="s">
        <v>49</v>
      </c>
      <c r="J95" s="160"/>
      <c r="K95" s="155" t="s">
        <v>63</v>
      </c>
      <c r="L95" s="160"/>
      <c r="M95" s="155" t="s">
        <v>46</v>
      </c>
      <c r="N95" s="160"/>
      <c r="O95" s="155" t="s">
        <v>64</v>
      </c>
      <c r="P95" s="160"/>
      <c r="Q95" s="155" t="s">
        <v>65</v>
      </c>
      <c r="R95" s="160"/>
      <c r="S95" s="155" t="s">
        <v>66</v>
      </c>
      <c r="T95" s="160"/>
      <c r="U95" s="155" t="s">
        <v>67</v>
      </c>
      <c r="V95" s="160"/>
      <c r="W95" s="131" t="s">
        <v>68</v>
      </c>
      <c r="X95" s="160"/>
      <c r="Y95" s="156"/>
      <c r="Z95" s="156"/>
      <c r="AA95" s="156"/>
      <c r="AB95" s="156"/>
      <c r="AC95" s="156"/>
      <c r="AD95" s="156"/>
      <c r="AE95" s="158" t="s">
        <v>74</v>
      </c>
      <c r="AF95" s="160"/>
      <c r="AG95" s="146" t="s">
        <v>52</v>
      </c>
    </row>
    <row r="96">
      <c r="A96" s="81" t="s">
        <v>59</v>
      </c>
      <c r="B96" s="13">
        <v>11.0</v>
      </c>
      <c r="C96" s="13">
        <v>25.0</v>
      </c>
      <c r="D96" s="13">
        <v>11.0</v>
      </c>
      <c r="E96" s="13">
        <f t="shared" ref="E96:E97" si="147">SUM(C96:D96)</f>
        <v>36</v>
      </c>
      <c r="F96" s="42">
        <f t="shared" ref="F96:F97" si="148">PRODUCT(C96, (1/E96))</f>
        <v>0.6944444444</v>
      </c>
      <c r="G96" s="13">
        <v>19.0</v>
      </c>
      <c r="H96" s="13">
        <v>11.0</v>
      </c>
      <c r="I96" s="13">
        <v>0.0</v>
      </c>
      <c r="J96" s="13">
        <v>0.0</v>
      </c>
      <c r="K96" s="13">
        <v>0.0</v>
      </c>
      <c r="L96" s="13">
        <v>0.0</v>
      </c>
      <c r="M96" s="13">
        <v>25.0</v>
      </c>
      <c r="N96" s="13">
        <v>18.0</v>
      </c>
      <c r="O96" s="13">
        <v>6.0</v>
      </c>
      <c r="P96" s="13">
        <v>3.0</v>
      </c>
      <c r="Q96" s="13">
        <v>3.0</v>
      </c>
      <c r="R96" s="13">
        <v>7.0</v>
      </c>
      <c r="S96" s="13">
        <v>0.0</v>
      </c>
      <c r="T96" s="13">
        <v>6.0</v>
      </c>
      <c r="U96" s="13">
        <v>4.0</v>
      </c>
      <c r="V96" s="13">
        <v>3.0</v>
      </c>
      <c r="W96" s="81">
        <v>0.0</v>
      </c>
      <c r="X96" s="81">
        <v>0.0</v>
      </c>
      <c r="Y96" s="13">
        <f t="shared" ref="Y96:Z96" si="143">PRODUCT(S96,2)</f>
        <v>0</v>
      </c>
      <c r="Z96" s="13">
        <f t="shared" si="143"/>
        <v>12</v>
      </c>
      <c r="AA96" s="13">
        <f t="shared" ref="AA96:AB96" si="144">PRODUCT(U96,3)</f>
        <v>12</v>
      </c>
      <c r="AB96" s="13">
        <f t="shared" si="144"/>
        <v>9</v>
      </c>
      <c r="AC96" s="13">
        <f t="shared" ref="AC96:AD96" si="145">PRODUCT(W96,4)</f>
        <v>0</v>
      </c>
      <c r="AD96" s="13">
        <f t="shared" si="145"/>
        <v>0</v>
      </c>
      <c r="AE96" s="13">
        <f t="shared" ref="AE96:AF96" si="146">SUM(Y96,AA96,AC96)</f>
        <v>12</v>
      </c>
      <c r="AF96" s="13">
        <f t="shared" si="146"/>
        <v>21</v>
      </c>
      <c r="AG96" s="13">
        <v>130.0</v>
      </c>
    </row>
    <row r="97">
      <c r="A97" s="75" t="s">
        <v>50</v>
      </c>
      <c r="B97" s="25">
        <v>12.0</v>
      </c>
      <c r="C97" s="25">
        <v>8.0</v>
      </c>
      <c r="D97" s="25">
        <v>3.0</v>
      </c>
      <c r="E97" s="25">
        <f t="shared" si="147"/>
        <v>11</v>
      </c>
      <c r="F97" s="43">
        <f t="shared" si="148"/>
        <v>0.7272727273</v>
      </c>
      <c r="G97" s="25">
        <v>8.0</v>
      </c>
      <c r="H97" s="25">
        <v>2.0</v>
      </c>
      <c r="I97" s="25">
        <v>0.0</v>
      </c>
      <c r="J97" s="25">
        <v>0.0</v>
      </c>
      <c r="K97" s="25">
        <v>0.0</v>
      </c>
      <c r="L97" s="25">
        <v>0.0</v>
      </c>
      <c r="M97" s="25">
        <v>8.0</v>
      </c>
      <c r="N97" s="25">
        <v>7.0</v>
      </c>
      <c r="O97" s="25">
        <v>4.0</v>
      </c>
      <c r="P97" s="25">
        <v>1.0</v>
      </c>
      <c r="Q97" s="25">
        <v>1.0</v>
      </c>
      <c r="R97" s="25">
        <v>1.0</v>
      </c>
      <c r="S97" s="25">
        <v>0.0</v>
      </c>
      <c r="T97" s="25">
        <v>0.0</v>
      </c>
      <c r="U97" s="25">
        <v>0.0</v>
      </c>
      <c r="V97" s="25">
        <v>0.0</v>
      </c>
      <c r="W97" s="25">
        <v>0.0</v>
      </c>
      <c r="X97" s="25">
        <v>0.0</v>
      </c>
      <c r="Y97" s="25">
        <f t="shared" ref="Y97:Z97" si="149">PRODUCT(S97,2)</f>
        <v>0</v>
      </c>
      <c r="Z97" s="25">
        <f t="shared" si="149"/>
        <v>0</v>
      </c>
      <c r="AA97" s="25">
        <f t="shared" ref="AA97:AB97" si="150">PRODUCT(U97,3)</f>
        <v>0</v>
      </c>
      <c r="AB97" s="25">
        <f t="shared" si="150"/>
        <v>0</v>
      </c>
      <c r="AC97" s="25">
        <f t="shared" ref="AC97:AD97" si="151">PRODUCT(W97,4)</f>
        <v>0</v>
      </c>
      <c r="AD97" s="25">
        <f t="shared" si="151"/>
        <v>0</v>
      </c>
      <c r="AE97" s="25">
        <f t="shared" ref="AE97:AF97" si="152">SUM(Y97,AA97,AC97)</f>
        <v>0</v>
      </c>
      <c r="AF97" s="25">
        <f t="shared" si="152"/>
        <v>0</v>
      </c>
      <c r="AG97" s="25">
        <v>46.0</v>
      </c>
    </row>
    <row r="98">
      <c r="A98" s="135" t="s">
        <v>152</v>
      </c>
      <c r="B98" s="60"/>
      <c r="C98" s="11">
        <f t="shared" ref="C98:E98" si="153">SUM(C96:C97)</f>
        <v>33</v>
      </c>
      <c r="D98" s="11">
        <f t="shared" si="153"/>
        <v>14</v>
      </c>
      <c r="E98" s="11">
        <f t="shared" si="153"/>
        <v>47</v>
      </c>
      <c r="F98" s="137">
        <f>PRODUCT(C98,(1/(C98+D98)))</f>
        <v>0.7021276596</v>
      </c>
      <c r="G98" s="11">
        <f t="shared" ref="G98:AG98" si="154">SUM(G96:G97)</f>
        <v>27</v>
      </c>
      <c r="H98" s="11">
        <f t="shared" si="154"/>
        <v>13</v>
      </c>
      <c r="I98" s="11">
        <f t="shared" si="154"/>
        <v>0</v>
      </c>
      <c r="J98" s="11">
        <f t="shared" si="154"/>
        <v>0</v>
      </c>
      <c r="K98" s="11">
        <f t="shared" si="154"/>
        <v>0</v>
      </c>
      <c r="L98" s="11">
        <f t="shared" si="154"/>
        <v>0</v>
      </c>
      <c r="M98" s="11">
        <f t="shared" si="154"/>
        <v>33</v>
      </c>
      <c r="N98" s="11">
        <f t="shared" si="154"/>
        <v>25</v>
      </c>
      <c r="O98" s="11">
        <f t="shared" si="154"/>
        <v>10</v>
      </c>
      <c r="P98" s="11">
        <f t="shared" si="154"/>
        <v>4</v>
      </c>
      <c r="Q98" s="11">
        <f t="shared" si="154"/>
        <v>4</v>
      </c>
      <c r="R98" s="11">
        <f t="shared" si="154"/>
        <v>8</v>
      </c>
      <c r="S98" s="11">
        <f t="shared" si="154"/>
        <v>0</v>
      </c>
      <c r="T98" s="11">
        <f t="shared" si="154"/>
        <v>6</v>
      </c>
      <c r="U98" s="11">
        <f t="shared" si="154"/>
        <v>4</v>
      </c>
      <c r="V98" s="11">
        <f t="shared" si="154"/>
        <v>3</v>
      </c>
      <c r="W98" s="11">
        <f t="shared" si="154"/>
        <v>0</v>
      </c>
      <c r="X98" s="11">
        <f t="shared" si="154"/>
        <v>0</v>
      </c>
      <c r="Y98" s="11">
        <f t="shared" si="154"/>
        <v>0</v>
      </c>
      <c r="Z98" s="11">
        <f t="shared" si="154"/>
        <v>12</v>
      </c>
      <c r="AA98" s="11">
        <f t="shared" si="154"/>
        <v>12</v>
      </c>
      <c r="AB98" s="11">
        <f t="shared" si="154"/>
        <v>9</v>
      </c>
      <c r="AC98" s="11">
        <f t="shared" si="154"/>
        <v>0</v>
      </c>
      <c r="AD98" s="11">
        <f t="shared" si="154"/>
        <v>0</v>
      </c>
      <c r="AE98" s="11">
        <f t="shared" si="154"/>
        <v>12</v>
      </c>
      <c r="AF98" s="11">
        <f t="shared" si="154"/>
        <v>21</v>
      </c>
      <c r="AG98" s="11">
        <f t="shared" si="154"/>
        <v>176</v>
      </c>
    </row>
    <row r="99">
      <c r="A99" s="161"/>
      <c r="B99" s="161"/>
      <c r="C99" s="117"/>
      <c r="D99" s="117"/>
      <c r="E99" s="117"/>
      <c r="F99" s="162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</row>
    <row r="100">
      <c r="A100" s="140" t="s">
        <v>167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159"/>
    </row>
    <row r="101">
      <c r="A101" s="146" t="s">
        <v>56</v>
      </c>
      <c r="B101" s="146" t="s">
        <v>62</v>
      </c>
      <c r="C101" s="155" t="s">
        <v>34</v>
      </c>
      <c r="D101" s="160"/>
      <c r="E101" s="156"/>
      <c r="F101" s="157" t="s">
        <v>41</v>
      </c>
      <c r="G101" s="155" t="s">
        <v>48</v>
      </c>
      <c r="H101" s="160"/>
      <c r="I101" s="155" t="s">
        <v>49</v>
      </c>
      <c r="J101" s="160"/>
      <c r="K101" s="155" t="s">
        <v>63</v>
      </c>
      <c r="L101" s="160"/>
      <c r="M101" s="155" t="s">
        <v>46</v>
      </c>
      <c r="N101" s="160"/>
      <c r="O101" s="155" t="s">
        <v>64</v>
      </c>
      <c r="P101" s="160"/>
      <c r="Q101" s="155" t="s">
        <v>65</v>
      </c>
      <c r="R101" s="160"/>
      <c r="S101" s="155" t="s">
        <v>66</v>
      </c>
      <c r="T101" s="160"/>
      <c r="U101" s="155" t="s">
        <v>67</v>
      </c>
      <c r="V101" s="160"/>
      <c r="W101" s="131" t="s">
        <v>68</v>
      </c>
      <c r="X101" s="160"/>
      <c r="Y101" s="156"/>
      <c r="Z101" s="156"/>
      <c r="AA101" s="156"/>
      <c r="AB101" s="156"/>
      <c r="AC101" s="156"/>
      <c r="AD101" s="156"/>
      <c r="AE101" s="158" t="s">
        <v>74</v>
      </c>
      <c r="AF101" s="160"/>
      <c r="AG101" s="146" t="s">
        <v>52</v>
      </c>
    </row>
    <row r="102">
      <c r="A102" s="81" t="s">
        <v>51</v>
      </c>
      <c r="B102" s="81">
        <v>9.0</v>
      </c>
      <c r="C102" s="81">
        <v>6.0</v>
      </c>
      <c r="D102" s="81">
        <v>15.0</v>
      </c>
      <c r="E102" s="81"/>
      <c r="F102" s="89">
        <f>PRODUCT(C102,(1/(C102+D102)))</f>
        <v>0.2857142857</v>
      </c>
      <c r="G102" s="81">
        <v>6.0</v>
      </c>
      <c r="H102" s="81"/>
      <c r="I102" s="81">
        <v>0.0</v>
      </c>
      <c r="J102" s="81"/>
      <c r="K102" s="81">
        <v>0.0</v>
      </c>
      <c r="L102" s="81"/>
      <c r="M102" s="81">
        <v>11.0</v>
      </c>
      <c r="N102" s="81"/>
      <c r="O102" s="81">
        <v>6.0</v>
      </c>
      <c r="P102" s="81"/>
      <c r="Q102" s="81">
        <v>2.0</v>
      </c>
      <c r="R102" s="81"/>
      <c r="S102" s="81">
        <v>0.0</v>
      </c>
      <c r="T102" s="81"/>
      <c r="U102" s="81">
        <v>2.0</v>
      </c>
      <c r="V102" s="81"/>
      <c r="W102" s="103"/>
      <c r="X102" s="103"/>
      <c r="Y102" s="81"/>
      <c r="Z102" s="81"/>
      <c r="AA102" s="81"/>
      <c r="AB102" s="81"/>
      <c r="AC102" s="81"/>
      <c r="AD102" s="81"/>
      <c r="AE102" s="81">
        <v>6.0</v>
      </c>
      <c r="AF102" s="81"/>
      <c r="AG102" s="81">
        <v>36.0</v>
      </c>
    </row>
    <row r="103">
      <c r="A103" s="25" t="s">
        <v>58</v>
      </c>
      <c r="B103" s="25">
        <v>10.0</v>
      </c>
      <c r="C103" s="25">
        <v>12.0</v>
      </c>
      <c r="D103" s="25">
        <v>10.0</v>
      </c>
      <c r="E103" s="25">
        <f t="shared" ref="E103:E104" si="159">SUM(C103:D103)</f>
        <v>22</v>
      </c>
      <c r="F103" s="82">
        <f>PRODUCT(C103,(1/E103))</f>
        <v>0.5454545455</v>
      </c>
      <c r="G103" s="25">
        <v>7.0</v>
      </c>
      <c r="H103" s="25">
        <v>10.0</v>
      </c>
      <c r="I103" s="25">
        <v>0.0</v>
      </c>
      <c r="J103" s="25">
        <v>0.0</v>
      </c>
      <c r="K103" s="25">
        <v>0.0</v>
      </c>
      <c r="L103" s="25">
        <v>0.0</v>
      </c>
      <c r="M103" s="25">
        <v>12.0</v>
      </c>
      <c r="N103" s="25">
        <v>15.0</v>
      </c>
      <c r="O103" s="25">
        <v>5.0</v>
      </c>
      <c r="P103" s="25">
        <v>5.0</v>
      </c>
      <c r="Q103" s="25">
        <v>4.0</v>
      </c>
      <c r="R103" s="25">
        <v>2.0</v>
      </c>
      <c r="S103" s="25">
        <v>4.0</v>
      </c>
      <c r="T103" s="25">
        <v>2.0</v>
      </c>
      <c r="U103" s="25">
        <v>0.0</v>
      </c>
      <c r="V103" s="25">
        <v>3.0</v>
      </c>
      <c r="W103" s="75">
        <v>0.0</v>
      </c>
      <c r="X103" s="75">
        <v>0.0</v>
      </c>
      <c r="Y103" s="25">
        <f t="shared" ref="Y103:Z103" si="155">PRODUCT(S103,2)</f>
        <v>8</v>
      </c>
      <c r="Z103" s="25">
        <f t="shared" si="155"/>
        <v>4</v>
      </c>
      <c r="AA103" s="25">
        <f t="shared" ref="AA103:AB103" si="156">PRODUCT(U103,3)</f>
        <v>0</v>
      </c>
      <c r="AB103" s="25">
        <f t="shared" si="156"/>
        <v>9</v>
      </c>
      <c r="AC103" s="25">
        <f t="shared" ref="AC103:AD103" si="157">PRODUCT(W103,4)</f>
        <v>0</v>
      </c>
      <c r="AD103" s="25">
        <f t="shared" si="157"/>
        <v>0</v>
      </c>
      <c r="AE103" s="25">
        <f t="shared" ref="AE103:AF103" si="158">SUM(Y103,AA103,AC103)</f>
        <v>8</v>
      </c>
      <c r="AF103" s="25">
        <f t="shared" si="158"/>
        <v>13</v>
      </c>
      <c r="AG103" s="25">
        <v>45.0</v>
      </c>
    </row>
    <row r="104">
      <c r="A104" s="81" t="s">
        <v>59</v>
      </c>
      <c r="B104" s="13">
        <v>11.0</v>
      </c>
      <c r="C104" s="13">
        <v>5.0</v>
      </c>
      <c r="D104" s="13">
        <v>6.0</v>
      </c>
      <c r="E104" s="13">
        <f t="shared" si="159"/>
        <v>11</v>
      </c>
      <c r="F104" s="42">
        <f>PRODUCT(C104, (1/E104))</f>
        <v>0.4545454545</v>
      </c>
      <c r="G104" s="13">
        <v>3.0</v>
      </c>
      <c r="H104" s="13">
        <v>6.0</v>
      </c>
      <c r="I104" s="13">
        <v>0.0</v>
      </c>
      <c r="J104" s="13">
        <v>0.0</v>
      </c>
      <c r="K104" s="13">
        <v>0.0</v>
      </c>
      <c r="L104" s="13">
        <v>0.0</v>
      </c>
      <c r="M104" s="13">
        <v>7.0</v>
      </c>
      <c r="N104" s="13">
        <v>7.0</v>
      </c>
      <c r="O104" s="13">
        <v>1.0</v>
      </c>
      <c r="P104" s="13">
        <v>3.0</v>
      </c>
      <c r="Q104" s="13">
        <v>0.0</v>
      </c>
      <c r="R104" s="13">
        <v>1.0</v>
      </c>
      <c r="S104" s="13">
        <v>1.0</v>
      </c>
      <c r="T104" s="13">
        <v>1.0</v>
      </c>
      <c r="U104" s="13">
        <v>1.0</v>
      </c>
      <c r="V104" s="13">
        <v>0.0</v>
      </c>
      <c r="W104" s="81">
        <v>0.0</v>
      </c>
      <c r="X104" s="81">
        <v>0.0</v>
      </c>
      <c r="Y104" s="13">
        <f t="shared" ref="Y104:Z104" si="160">PRODUCT(S104,2)</f>
        <v>2</v>
      </c>
      <c r="Z104" s="13">
        <f t="shared" si="160"/>
        <v>2</v>
      </c>
      <c r="AA104" s="13">
        <f t="shared" ref="AA104:AB104" si="161">PRODUCT(U104,3)</f>
        <v>3</v>
      </c>
      <c r="AB104" s="13">
        <f t="shared" si="161"/>
        <v>0</v>
      </c>
      <c r="AC104" s="13">
        <f t="shared" ref="AC104:AD104" si="162">PRODUCT(W104,4)</f>
        <v>0</v>
      </c>
      <c r="AD104" s="13">
        <f t="shared" si="162"/>
        <v>0</v>
      </c>
      <c r="AE104" s="13">
        <f t="shared" ref="AE104:AF104" si="163">SUM(Y104,AA104,AC104)</f>
        <v>5</v>
      </c>
      <c r="AF104" s="13">
        <f t="shared" si="163"/>
        <v>2</v>
      </c>
      <c r="AG104" s="13">
        <v>51.0</v>
      </c>
    </row>
    <row r="105">
      <c r="A105" s="135" t="s">
        <v>152</v>
      </c>
      <c r="B105" s="20"/>
      <c r="C105" s="11">
        <f t="shared" ref="C105:E105" si="164">SUM(C102:C104)</f>
        <v>23</v>
      </c>
      <c r="D105" s="11">
        <f t="shared" si="164"/>
        <v>31</v>
      </c>
      <c r="E105" s="11">
        <f t="shared" si="164"/>
        <v>33</v>
      </c>
      <c r="F105" s="137">
        <f>PRODUCT(C105,(1/(C105+D105)))</f>
        <v>0.4259259259</v>
      </c>
      <c r="G105" s="11">
        <f t="shared" ref="G105:AG105" si="165">SUM(G102:G104)</f>
        <v>16</v>
      </c>
      <c r="H105" s="11">
        <f t="shared" si="165"/>
        <v>16</v>
      </c>
      <c r="I105" s="11">
        <f t="shared" si="165"/>
        <v>0</v>
      </c>
      <c r="J105" s="11">
        <f t="shared" si="165"/>
        <v>0</v>
      </c>
      <c r="K105" s="11">
        <f t="shared" si="165"/>
        <v>0</v>
      </c>
      <c r="L105" s="11">
        <f t="shared" si="165"/>
        <v>0</v>
      </c>
      <c r="M105" s="11">
        <f t="shared" si="165"/>
        <v>30</v>
      </c>
      <c r="N105" s="11">
        <f t="shared" si="165"/>
        <v>22</v>
      </c>
      <c r="O105" s="11">
        <f t="shared" si="165"/>
        <v>12</v>
      </c>
      <c r="P105" s="11">
        <f t="shared" si="165"/>
        <v>8</v>
      </c>
      <c r="Q105" s="11">
        <f t="shared" si="165"/>
        <v>6</v>
      </c>
      <c r="R105" s="11">
        <f t="shared" si="165"/>
        <v>3</v>
      </c>
      <c r="S105" s="11">
        <f t="shared" si="165"/>
        <v>5</v>
      </c>
      <c r="T105" s="11">
        <f t="shared" si="165"/>
        <v>3</v>
      </c>
      <c r="U105" s="11">
        <f t="shared" si="165"/>
        <v>3</v>
      </c>
      <c r="V105" s="11">
        <f t="shared" si="165"/>
        <v>3</v>
      </c>
      <c r="W105" s="11">
        <f t="shared" si="165"/>
        <v>0</v>
      </c>
      <c r="X105" s="11">
        <f t="shared" si="165"/>
        <v>0</v>
      </c>
      <c r="Y105" s="11">
        <f t="shared" si="165"/>
        <v>10</v>
      </c>
      <c r="Z105" s="11">
        <f t="shared" si="165"/>
        <v>6</v>
      </c>
      <c r="AA105" s="11">
        <f t="shared" si="165"/>
        <v>3</v>
      </c>
      <c r="AB105" s="11">
        <f t="shared" si="165"/>
        <v>9</v>
      </c>
      <c r="AC105" s="11">
        <f t="shared" si="165"/>
        <v>0</v>
      </c>
      <c r="AD105" s="11">
        <f t="shared" si="165"/>
        <v>0</v>
      </c>
      <c r="AE105" s="11">
        <f t="shared" si="165"/>
        <v>19</v>
      </c>
      <c r="AF105" s="11">
        <f t="shared" si="165"/>
        <v>15</v>
      </c>
      <c r="AG105" s="11">
        <f t="shared" si="165"/>
        <v>132</v>
      </c>
    </row>
    <row r="106">
      <c r="A106" s="161"/>
      <c r="B106" s="161"/>
      <c r="C106" s="117"/>
      <c r="D106" s="117"/>
      <c r="E106" s="117"/>
      <c r="F106" s="162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</row>
    <row r="107">
      <c r="A107" s="140" t="s">
        <v>168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59"/>
    </row>
    <row r="108">
      <c r="A108" s="146" t="s">
        <v>56</v>
      </c>
      <c r="B108" s="146" t="s">
        <v>62</v>
      </c>
      <c r="C108" s="155" t="s">
        <v>34</v>
      </c>
      <c r="D108" s="132"/>
      <c r="E108" s="156"/>
      <c r="F108" s="157" t="s">
        <v>41</v>
      </c>
      <c r="G108" s="155" t="s">
        <v>48</v>
      </c>
      <c r="H108" s="132"/>
      <c r="I108" s="155" t="s">
        <v>49</v>
      </c>
      <c r="J108" s="132"/>
      <c r="K108" s="155" t="s">
        <v>63</v>
      </c>
      <c r="L108" s="132"/>
      <c r="M108" s="155" t="s">
        <v>46</v>
      </c>
      <c r="N108" s="132"/>
      <c r="O108" s="155" t="s">
        <v>64</v>
      </c>
      <c r="P108" s="132"/>
      <c r="Q108" s="155" t="s">
        <v>65</v>
      </c>
      <c r="R108" s="132"/>
      <c r="S108" s="155" t="s">
        <v>66</v>
      </c>
      <c r="T108" s="132"/>
      <c r="U108" s="155" t="s">
        <v>67</v>
      </c>
      <c r="V108" s="132"/>
      <c r="W108" s="131" t="s">
        <v>68</v>
      </c>
      <c r="X108" s="132"/>
      <c r="Y108" s="156"/>
      <c r="Z108" s="156"/>
      <c r="AA108" s="156"/>
      <c r="AB108" s="156"/>
      <c r="AC108" s="156"/>
      <c r="AD108" s="156"/>
      <c r="AE108" s="158" t="s">
        <v>74</v>
      </c>
      <c r="AF108" s="132"/>
      <c r="AG108" s="146" t="s">
        <v>52</v>
      </c>
    </row>
    <row r="109">
      <c r="A109" s="81" t="s">
        <v>59</v>
      </c>
      <c r="B109" s="13">
        <v>11.0</v>
      </c>
      <c r="C109" s="13">
        <v>8.0</v>
      </c>
      <c r="D109" s="13">
        <v>9.0</v>
      </c>
      <c r="E109" s="13">
        <f t="shared" ref="E109:E110" si="170">SUM(C109:D109)</f>
        <v>17</v>
      </c>
      <c r="F109" s="42">
        <f t="shared" ref="F109:F110" si="171">PRODUCT(C109, (1/E109))</f>
        <v>0.4705882353</v>
      </c>
      <c r="G109" s="13">
        <v>5.0</v>
      </c>
      <c r="H109" s="13">
        <v>5.0</v>
      </c>
      <c r="I109" s="13">
        <v>0.0</v>
      </c>
      <c r="J109" s="13">
        <v>0.0</v>
      </c>
      <c r="K109" s="13">
        <v>0.0</v>
      </c>
      <c r="L109" s="13">
        <v>0.0</v>
      </c>
      <c r="M109" s="13">
        <v>22.0</v>
      </c>
      <c r="N109" s="13">
        <v>19.0</v>
      </c>
      <c r="O109" s="13">
        <v>9.0</v>
      </c>
      <c r="P109" s="13">
        <v>16.0</v>
      </c>
      <c r="Q109" s="13">
        <v>6.0</v>
      </c>
      <c r="R109" s="13">
        <v>6.0</v>
      </c>
      <c r="S109" s="13">
        <v>1.0</v>
      </c>
      <c r="T109" s="13">
        <v>2.0</v>
      </c>
      <c r="U109" s="13">
        <v>1.0</v>
      </c>
      <c r="V109" s="13">
        <v>0.0</v>
      </c>
      <c r="W109" s="81">
        <v>0.0</v>
      </c>
      <c r="X109" s="81">
        <v>0.0</v>
      </c>
      <c r="Y109" s="13">
        <f t="shared" ref="Y109:Z109" si="166">PRODUCT(S109,2)</f>
        <v>2</v>
      </c>
      <c r="Z109" s="13">
        <f t="shared" si="166"/>
        <v>4</v>
      </c>
      <c r="AA109" s="13">
        <f t="shared" ref="AA109:AB109" si="167">PRODUCT(U109,3)</f>
        <v>3</v>
      </c>
      <c r="AB109" s="13">
        <f t="shared" si="167"/>
        <v>0</v>
      </c>
      <c r="AC109" s="13">
        <f t="shared" ref="AC109:AD109" si="168">PRODUCT(W109,4)</f>
        <v>0</v>
      </c>
      <c r="AD109" s="13">
        <f t="shared" si="168"/>
        <v>0</v>
      </c>
      <c r="AE109" s="13">
        <f t="shared" ref="AE109:AF109" si="169">SUM(Y109,AA109,AC109)</f>
        <v>5</v>
      </c>
      <c r="AF109" s="13">
        <f t="shared" si="169"/>
        <v>4</v>
      </c>
      <c r="AG109" s="13">
        <v>34.0</v>
      </c>
    </row>
    <row r="110">
      <c r="A110" s="75" t="s">
        <v>50</v>
      </c>
      <c r="B110" s="25">
        <v>12.0</v>
      </c>
      <c r="C110" s="25">
        <v>12.0</v>
      </c>
      <c r="D110" s="25">
        <v>22.0</v>
      </c>
      <c r="E110" s="25">
        <f t="shared" si="170"/>
        <v>34</v>
      </c>
      <c r="F110" s="43">
        <f t="shared" si="171"/>
        <v>0.3529411765</v>
      </c>
      <c r="G110" s="25">
        <v>8.0</v>
      </c>
      <c r="H110" s="25">
        <v>18.0</v>
      </c>
      <c r="I110" s="25">
        <v>0.0</v>
      </c>
      <c r="J110" s="25">
        <v>1.0</v>
      </c>
      <c r="K110" s="25">
        <v>0.0</v>
      </c>
      <c r="L110" s="25">
        <v>1.0</v>
      </c>
      <c r="M110" s="25">
        <v>11.0</v>
      </c>
      <c r="N110" s="25">
        <v>27.0</v>
      </c>
      <c r="O110" s="25">
        <v>4.0</v>
      </c>
      <c r="P110" s="25">
        <v>13.0</v>
      </c>
      <c r="Q110" s="25">
        <v>6.0</v>
      </c>
      <c r="R110" s="25">
        <v>5.0</v>
      </c>
      <c r="S110" s="25">
        <v>0.0</v>
      </c>
      <c r="T110" s="25">
        <v>1.0</v>
      </c>
      <c r="U110" s="25">
        <v>0.0</v>
      </c>
      <c r="V110" s="25">
        <v>0.0</v>
      </c>
      <c r="W110" s="25">
        <v>2.0</v>
      </c>
      <c r="X110" s="25">
        <v>3.0</v>
      </c>
      <c r="Y110" s="25">
        <f t="shared" ref="Y110:Z110" si="172">PRODUCT(S110,2)</f>
        <v>0</v>
      </c>
      <c r="Z110" s="25">
        <f t="shared" si="172"/>
        <v>2</v>
      </c>
      <c r="AA110" s="25">
        <f t="shared" ref="AA110:AB110" si="173">PRODUCT(U110,3)</f>
        <v>0</v>
      </c>
      <c r="AB110" s="25">
        <f t="shared" si="173"/>
        <v>0</v>
      </c>
      <c r="AC110" s="25">
        <f t="shared" ref="AC110:AD110" si="174">PRODUCT(W110,4)</f>
        <v>8</v>
      </c>
      <c r="AD110" s="25">
        <f t="shared" si="174"/>
        <v>12</v>
      </c>
      <c r="AE110" s="25">
        <f t="shared" ref="AE110:AF110" si="175">SUM(Y110,AA110,AC110)</f>
        <v>8</v>
      </c>
      <c r="AF110" s="25">
        <f t="shared" si="175"/>
        <v>14</v>
      </c>
      <c r="AG110" s="25">
        <v>71.0</v>
      </c>
    </row>
    <row r="111">
      <c r="A111" s="135" t="s">
        <v>152</v>
      </c>
      <c r="B111" s="20"/>
      <c r="C111" s="11">
        <f t="shared" ref="C111:E111" si="176">SUM(C109:C110)</f>
        <v>20</v>
      </c>
      <c r="D111" s="11">
        <f t="shared" si="176"/>
        <v>31</v>
      </c>
      <c r="E111" s="11">
        <f t="shared" si="176"/>
        <v>51</v>
      </c>
      <c r="F111" s="137">
        <f>PRODUCT(C111,(1/(C111+D111)))</f>
        <v>0.3921568627</v>
      </c>
      <c r="G111" s="11">
        <f t="shared" ref="G111:AG111" si="177">SUM(G109:G110)</f>
        <v>13</v>
      </c>
      <c r="H111" s="11">
        <f t="shared" si="177"/>
        <v>23</v>
      </c>
      <c r="I111" s="11">
        <f t="shared" si="177"/>
        <v>0</v>
      </c>
      <c r="J111" s="11">
        <f t="shared" si="177"/>
        <v>1</v>
      </c>
      <c r="K111" s="11">
        <f t="shared" si="177"/>
        <v>0</v>
      </c>
      <c r="L111" s="11">
        <f t="shared" si="177"/>
        <v>1</v>
      </c>
      <c r="M111" s="11">
        <f t="shared" si="177"/>
        <v>33</v>
      </c>
      <c r="N111" s="11">
        <f t="shared" si="177"/>
        <v>46</v>
      </c>
      <c r="O111" s="11">
        <f t="shared" si="177"/>
        <v>13</v>
      </c>
      <c r="P111" s="11">
        <f t="shared" si="177"/>
        <v>29</v>
      </c>
      <c r="Q111" s="11">
        <f t="shared" si="177"/>
        <v>12</v>
      </c>
      <c r="R111" s="11">
        <f t="shared" si="177"/>
        <v>11</v>
      </c>
      <c r="S111" s="11">
        <f t="shared" si="177"/>
        <v>1</v>
      </c>
      <c r="T111" s="11">
        <f t="shared" si="177"/>
        <v>3</v>
      </c>
      <c r="U111" s="11">
        <f t="shared" si="177"/>
        <v>1</v>
      </c>
      <c r="V111" s="11">
        <f t="shared" si="177"/>
        <v>0</v>
      </c>
      <c r="W111" s="11">
        <f t="shared" si="177"/>
        <v>2</v>
      </c>
      <c r="X111" s="11">
        <f t="shared" si="177"/>
        <v>3</v>
      </c>
      <c r="Y111" s="11">
        <f t="shared" si="177"/>
        <v>2</v>
      </c>
      <c r="Z111" s="11">
        <f t="shared" si="177"/>
        <v>6</v>
      </c>
      <c r="AA111" s="11">
        <f t="shared" si="177"/>
        <v>3</v>
      </c>
      <c r="AB111" s="11">
        <f t="shared" si="177"/>
        <v>0</v>
      </c>
      <c r="AC111" s="11">
        <f t="shared" si="177"/>
        <v>8</v>
      </c>
      <c r="AD111" s="11">
        <f t="shared" si="177"/>
        <v>12</v>
      </c>
      <c r="AE111" s="11">
        <f t="shared" si="177"/>
        <v>13</v>
      </c>
      <c r="AF111" s="11">
        <f t="shared" si="177"/>
        <v>18</v>
      </c>
      <c r="AG111" s="11">
        <f t="shared" si="177"/>
        <v>105</v>
      </c>
    </row>
    <row r="112">
      <c r="A112" s="161"/>
      <c r="B112" s="161"/>
      <c r="C112" s="117"/>
      <c r="D112" s="117"/>
      <c r="E112" s="117"/>
      <c r="F112" s="16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</row>
    <row r="113">
      <c r="A113" s="140" t="s">
        <v>169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59"/>
    </row>
    <row r="114">
      <c r="A114" s="146" t="s">
        <v>56</v>
      </c>
      <c r="B114" s="146" t="s">
        <v>62</v>
      </c>
      <c r="C114" s="155" t="s">
        <v>34</v>
      </c>
      <c r="D114" s="132"/>
      <c r="E114" s="156"/>
      <c r="F114" s="157" t="s">
        <v>41</v>
      </c>
      <c r="G114" s="155" t="s">
        <v>48</v>
      </c>
      <c r="H114" s="132"/>
      <c r="I114" s="165" t="s">
        <v>49</v>
      </c>
      <c r="J114" s="60"/>
      <c r="K114" s="165" t="s">
        <v>63</v>
      </c>
      <c r="L114" s="60"/>
      <c r="M114" s="165" t="s">
        <v>46</v>
      </c>
      <c r="N114" s="60"/>
      <c r="O114" s="165" t="s">
        <v>64</v>
      </c>
      <c r="P114" s="60"/>
      <c r="Q114" s="165" t="s">
        <v>65</v>
      </c>
      <c r="R114" s="60"/>
      <c r="S114" s="165" t="s">
        <v>66</v>
      </c>
      <c r="T114" s="60"/>
      <c r="U114" s="165" t="s">
        <v>67</v>
      </c>
      <c r="V114" s="60"/>
      <c r="W114" s="135" t="s">
        <v>68</v>
      </c>
      <c r="X114" s="60"/>
      <c r="Y114" s="168"/>
      <c r="Z114" s="168"/>
      <c r="AA114" s="168"/>
      <c r="AB114" s="168"/>
      <c r="AC114" s="168"/>
      <c r="AD114" s="168"/>
      <c r="AE114" s="169" t="s">
        <v>74</v>
      </c>
      <c r="AF114" s="60"/>
      <c r="AG114" s="1" t="s">
        <v>52</v>
      </c>
    </row>
    <row r="115">
      <c r="A115" s="81" t="s">
        <v>59</v>
      </c>
      <c r="B115" s="13">
        <v>10.0</v>
      </c>
      <c r="C115" s="13">
        <v>19.0</v>
      </c>
      <c r="D115" s="13">
        <v>14.0</v>
      </c>
      <c r="E115" s="13">
        <f t="shared" ref="E115:E116" si="178">SUM(C115:D115)</f>
        <v>33</v>
      </c>
      <c r="F115" s="42">
        <f t="shared" ref="F115:F116" si="179">PRODUCT(C115, (1/E115))</f>
        <v>0.5757575758</v>
      </c>
      <c r="G115" s="13">
        <v>8.0</v>
      </c>
      <c r="H115" s="13">
        <v>10.0</v>
      </c>
      <c r="I115" s="13">
        <v>0.0</v>
      </c>
      <c r="J115" s="13">
        <v>0.0</v>
      </c>
      <c r="K115" s="13">
        <v>0.0</v>
      </c>
      <c r="L115" s="13">
        <v>2.0</v>
      </c>
      <c r="M115" s="13">
        <v>27.0</v>
      </c>
      <c r="N115" s="13">
        <v>29.0</v>
      </c>
      <c r="O115" s="13">
        <v>12.0</v>
      </c>
      <c r="P115" s="13">
        <v>13.0</v>
      </c>
      <c r="Q115" s="13">
        <v>8.0</v>
      </c>
      <c r="R115" s="13">
        <v>8.0</v>
      </c>
      <c r="S115" s="13">
        <v>2.0</v>
      </c>
      <c r="T115" s="13">
        <v>2.0</v>
      </c>
      <c r="U115" s="13">
        <v>7.0</v>
      </c>
      <c r="V115" s="13">
        <v>3.0</v>
      </c>
      <c r="W115" s="81">
        <v>0.0</v>
      </c>
      <c r="X115" s="81">
        <v>0.0</v>
      </c>
      <c r="Y115" s="13">
        <v>4.0</v>
      </c>
      <c r="Z115" s="13">
        <v>4.0</v>
      </c>
      <c r="AA115" s="13">
        <v>21.0</v>
      </c>
      <c r="AB115" s="13">
        <v>9.0</v>
      </c>
      <c r="AC115" s="13">
        <v>0.0</v>
      </c>
      <c r="AD115" s="13">
        <v>0.0</v>
      </c>
      <c r="AE115" s="13">
        <v>25.0</v>
      </c>
      <c r="AF115" s="13">
        <v>13.0</v>
      </c>
      <c r="AG115" s="81">
        <v>86.0</v>
      </c>
    </row>
    <row r="116">
      <c r="A116" s="75" t="s">
        <v>50</v>
      </c>
      <c r="B116" s="25">
        <v>11.0</v>
      </c>
      <c r="C116" s="25">
        <v>23.0</v>
      </c>
      <c r="D116" s="25">
        <v>17.0</v>
      </c>
      <c r="E116" s="25">
        <f t="shared" si="178"/>
        <v>40</v>
      </c>
      <c r="F116" s="43">
        <f t="shared" si="179"/>
        <v>0.575</v>
      </c>
      <c r="G116" s="25">
        <v>13.0</v>
      </c>
      <c r="H116" s="25">
        <v>11.0</v>
      </c>
      <c r="I116" s="25">
        <v>0.0</v>
      </c>
      <c r="J116" s="25">
        <v>2.0</v>
      </c>
      <c r="K116" s="25">
        <v>0.0</v>
      </c>
      <c r="L116" s="25">
        <v>1.0</v>
      </c>
      <c r="M116" s="25">
        <v>26.0</v>
      </c>
      <c r="N116" s="25">
        <v>50.0</v>
      </c>
      <c r="O116" s="25">
        <v>19.0</v>
      </c>
      <c r="P116" s="25">
        <v>16.0</v>
      </c>
      <c r="Q116" s="25">
        <v>10.0</v>
      </c>
      <c r="R116" s="25">
        <v>10.0</v>
      </c>
      <c r="S116" s="170">
        <v>4.0</v>
      </c>
      <c r="T116" s="170">
        <v>2.0</v>
      </c>
      <c r="U116" s="170">
        <v>2.0</v>
      </c>
      <c r="V116" s="170">
        <v>4.0</v>
      </c>
      <c r="W116" s="170">
        <v>9.0</v>
      </c>
      <c r="X116" s="170">
        <v>4.0</v>
      </c>
      <c r="Y116" s="170">
        <v>8.0</v>
      </c>
      <c r="Z116" s="170">
        <v>4.0</v>
      </c>
      <c r="AA116" s="170">
        <v>6.0</v>
      </c>
      <c r="AB116" s="170">
        <v>12.0</v>
      </c>
      <c r="AC116" s="170">
        <v>36.0</v>
      </c>
      <c r="AD116" s="170">
        <v>16.0</v>
      </c>
      <c r="AE116" s="170">
        <v>50.0</v>
      </c>
      <c r="AF116" s="170">
        <v>32.0</v>
      </c>
      <c r="AG116" s="25">
        <v>91.0</v>
      </c>
    </row>
    <row r="117">
      <c r="A117" s="81" t="s">
        <v>37</v>
      </c>
      <c r="B117" s="13">
        <v>12.0</v>
      </c>
      <c r="C117" s="13">
        <v>40.0</v>
      </c>
      <c r="D117" s="13">
        <v>15.0</v>
      </c>
      <c r="E117" s="13"/>
      <c r="F117" s="42">
        <v>0.73</v>
      </c>
      <c r="G117" s="13">
        <v>25.0</v>
      </c>
      <c r="H117" s="13">
        <v>7.0</v>
      </c>
      <c r="I117" s="13">
        <v>1.0</v>
      </c>
      <c r="J117" s="13">
        <v>0.0</v>
      </c>
      <c r="K117" s="13">
        <v>4.0</v>
      </c>
      <c r="L117" s="13">
        <v>2.0</v>
      </c>
      <c r="M117" s="13">
        <v>69.0</v>
      </c>
      <c r="N117" s="13">
        <v>26.0</v>
      </c>
      <c r="O117" s="13">
        <v>15.0</v>
      </c>
      <c r="P117" s="13">
        <v>16.0</v>
      </c>
      <c r="Q117" s="13">
        <v>6.0</v>
      </c>
      <c r="R117" s="13">
        <v>16.0</v>
      </c>
      <c r="S117" s="16">
        <v>1.0</v>
      </c>
      <c r="T117" s="16">
        <v>6.0</v>
      </c>
      <c r="U117" s="16">
        <v>6.0</v>
      </c>
      <c r="V117" s="16">
        <v>0.0</v>
      </c>
      <c r="W117" s="71">
        <v>9.0</v>
      </c>
      <c r="X117" s="71">
        <v>2.0</v>
      </c>
      <c r="Y117" s="16">
        <v>2.0</v>
      </c>
      <c r="Z117" s="16">
        <v>12.0</v>
      </c>
      <c r="AA117" s="16">
        <v>18.0</v>
      </c>
      <c r="AB117" s="16">
        <v>0.0</v>
      </c>
      <c r="AC117" s="16">
        <v>36.0</v>
      </c>
      <c r="AD117" s="16">
        <v>8.0</v>
      </c>
      <c r="AE117" s="16">
        <v>56.0</v>
      </c>
      <c r="AF117" s="16">
        <v>20.0</v>
      </c>
      <c r="AG117" s="13">
        <v>183.0</v>
      </c>
    </row>
    <row r="118">
      <c r="A118" s="135" t="s">
        <v>152</v>
      </c>
      <c r="B118" s="60"/>
      <c r="C118" s="11">
        <f t="shared" ref="C118:E118" si="180">SUM(C115:C117)</f>
        <v>82</v>
      </c>
      <c r="D118" s="11">
        <f t="shared" si="180"/>
        <v>46</v>
      </c>
      <c r="E118" s="11">
        <f t="shared" si="180"/>
        <v>73</v>
      </c>
      <c r="F118" s="137">
        <f>PRODUCT(C118,(1/(C118+D118)))</f>
        <v>0.640625</v>
      </c>
      <c r="G118" s="11">
        <f t="shared" ref="G118:AG118" si="181">SUM(G115:G117)</f>
        <v>46</v>
      </c>
      <c r="H118" s="11">
        <f t="shared" si="181"/>
        <v>28</v>
      </c>
      <c r="I118" s="11">
        <f t="shared" si="181"/>
        <v>1</v>
      </c>
      <c r="J118" s="11">
        <f t="shared" si="181"/>
        <v>2</v>
      </c>
      <c r="K118" s="11">
        <f t="shared" si="181"/>
        <v>4</v>
      </c>
      <c r="L118" s="11">
        <f t="shared" si="181"/>
        <v>5</v>
      </c>
      <c r="M118" s="11">
        <f t="shared" si="181"/>
        <v>122</v>
      </c>
      <c r="N118" s="11">
        <f t="shared" si="181"/>
        <v>105</v>
      </c>
      <c r="O118" s="11">
        <f t="shared" si="181"/>
        <v>46</v>
      </c>
      <c r="P118" s="11">
        <f t="shared" si="181"/>
        <v>45</v>
      </c>
      <c r="Q118" s="11">
        <f t="shared" si="181"/>
        <v>24</v>
      </c>
      <c r="R118" s="11">
        <f t="shared" si="181"/>
        <v>34</v>
      </c>
      <c r="S118" s="11">
        <f t="shared" si="181"/>
        <v>7</v>
      </c>
      <c r="T118" s="11">
        <f t="shared" si="181"/>
        <v>10</v>
      </c>
      <c r="U118" s="11">
        <f t="shared" si="181"/>
        <v>15</v>
      </c>
      <c r="V118" s="11">
        <f t="shared" si="181"/>
        <v>7</v>
      </c>
      <c r="W118" s="11">
        <f t="shared" si="181"/>
        <v>18</v>
      </c>
      <c r="X118" s="11">
        <f t="shared" si="181"/>
        <v>6</v>
      </c>
      <c r="Y118" s="11">
        <f t="shared" si="181"/>
        <v>14</v>
      </c>
      <c r="Z118" s="11">
        <f t="shared" si="181"/>
        <v>20</v>
      </c>
      <c r="AA118" s="11">
        <f t="shared" si="181"/>
        <v>45</v>
      </c>
      <c r="AB118" s="11">
        <f t="shared" si="181"/>
        <v>21</v>
      </c>
      <c r="AC118" s="11">
        <f t="shared" si="181"/>
        <v>72</v>
      </c>
      <c r="AD118" s="11">
        <f t="shared" si="181"/>
        <v>24</v>
      </c>
      <c r="AE118" s="11">
        <f t="shared" si="181"/>
        <v>131</v>
      </c>
      <c r="AF118" s="11">
        <f t="shared" si="181"/>
        <v>65</v>
      </c>
      <c r="AG118" s="11">
        <f t="shared" si="181"/>
        <v>360</v>
      </c>
    </row>
    <row r="119">
      <c r="A119" s="171"/>
      <c r="B119" s="171"/>
      <c r="C119" s="172"/>
      <c r="D119" s="172"/>
      <c r="E119" s="172"/>
      <c r="F119" s="173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</row>
    <row r="120">
      <c r="A120" s="140" t="s">
        <v>170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159"/>
    </row>
    <row r="121">
      <c r="A121" s="146" t="s">
        <v>56</v>
      </c>
      <c r="B121" s="146" t="s">
        <v>62</v>
      </c>
      <c r="C121" s="155" t="s">
        <v>34</v>
      </c>
      <c r="D121" s="160"/>
      <c r="E121" s="156"/>
      <c r="F121" s="157" t="s">
        <v>41</v>
      </c>
      <c r="G121" s="155" t="s">
        <v>48</v>
      </c>
      <c r="H121" s="160"/>
      <c r="I121" s="155" t="s">
        <v>49</v>
      </c>
      <c r="J121" s="160"/>
      <c r="K121" s="155" t="s">
        <v>63</v>
      </c>
      <c r="L121" s="160"/>
      <c r="M121" s="155" t="s">
        <v>46</v>
      </c>
      <c r="N121" s="160"/>
      <c r="O121" s="155" t="s">
        <v>64</v>
      </c>
      <c r="P121" s="160"/>
      <c r="Q121" s="155" t="s">
        <v>65</v>
      </c>
      <c r="R121" s="160"/>
      <c r="S121" s="155" t="s">
        <v>66</v>
      </c>
      <c r="T121" s="160"/>
      <c r="U121" s="155" t="s">
        <v>67</v>
      </c>
      <c r="V121" s="160"/>
      <c r="W121" s="131" t="s">
        <v>68</v>
      </c>
      <c r="X121" s="160"/>
      <c r="Y121" s="156"/>
      <c r="Z121" s="156"/>
      <c r="AA121" s="156"/>
      <c r="AB121" s="156"/>
      <c r="AC121" s="156"/>
      <c r="AD121" s="156"/>
      <c r="AE121" s="158" t="s">
        <v>74</v>
      </c>
      <c r="AF121" s="160"/>
      <c r="AG121" s="146" t="s">
        <v>52</v>
      </c>
    </row>
    <row r="122">
      <c r="A122" s="81" t="s">
        <v>59</v>
      </c>
      <c r="B122" s="13">
        <v>10.0</v>
      </c>
      <c r="C122" s="13">
        <v>25.0</v>
      </c>
      <c r="D122" s="13">
        <v>15.0</v>
      </c>
      <c r="E122" s="13">
        <f t="shared" ref="E122:E123" si="182">SUM(C122:D122)</f>
        <v>40</v>
      </c>
      <c r="F122" s="42">
        <f t="shared" ref="F122:F123" si="183">PRODUCT(C122, (1/E122))</f>
        <v>0.625</v>
      </c>
      <c r="G122" s="13">
        <v>12.0</v>
      </c>
      <c r="H122" s="13">
        <v>14.0</v>
      </c>
      <c r="I122" s="13">
        <v>0.0</v>
      </c>
      <c r="J122" s="13">
        <v>0.0</v>
      </c>
      <c r="K122" s="13">
        <v>0.0</v>
      </c>
      <c r="L122" s="13">
        <v>0.0</v>
      </c>
      <c r="M122" s="13">
        <v>24.0</v>
      </c>
      <c r="N122" s="13">
        <v>21.0</v>
      </c>
      <c r="O122" s="13">
        <v>6.0</v>
      </c>
      <c r="P122" s="13">
        <v>10.0</v>
      </c>
      <c r="Q122" s="13">
        <v>2.0</v>
      </c>
      <c r="R122" s="13">
        <v>4.0</v>
      </c>
      <c r="S122" s="81">
        <v>2.0</v>
      </c>
      <c r="T122" s="81">
        <v>1.0</v>
      </c>
      <c r="U122" s="81">
        <v>2.0</v>
      </c>
      <c r="V122" s="81">
        <v>1.0</v>
      </c>
      <c r="W122" s="174">
        <v>0.0</v>
      </c>
      <c r="X122" s="174">
        <v>0.0</v>
      </c>
      <c r="Y122" s="81">
        <v>4.0</v>
      </c>
      <c r="Z122" s="81">
        <v>2.0</v>
      </c>
      <c r="AA122" s="81">
        <v>6.0</v>
      </c>
      <c r="AB122" s="81">
        <v>3.0</v>
      </c>
      <c r="AC122" s="81">
        <v>0.0</v>
      </c>
      <c r="AD122" s="81">
        <v>0.0</v>
      </c>
      <c r="AE122" s="81">
        <v>10.0</v>
      </c>
      <c r="AF122" s="81">
        <v>5.0</v>
      </c>
      <c r="AG122" s="81">
        <v>124.0</v>
      </c>
    </row>
    <row r="123">
      <c r="A123" s="75" t="s">
        <v>50</v>
      </c>
      <c r="B123" s="25">
        <v>11.0</v>
      </c>
      <c r="C123" s="25">
        <v>24.0</v>
      </c>
      <c r="D123" s="25">
        <v>8.0</v>
      </c>
      <c r="E123" s="25">
        <f t="shared" si="182"/>
        <v>32</v>
      </c>
      <c r="F123" s="43">
        <f t="shared" si="183"/>
        <v>0.75</v>
      </c>
      <c r="G123" s="25">
        <v>16.0</v>
      </c>
      <c r="H123" s="25">
        <v>6.0</v>
      </c>
      <c r="I123" s="25">
        <v>0.0</v>
      </c>
      <c r="J123" s="25">
        <v>0.0</v>
      </c>
      <c r="K123" s="25">
        <v>0.0</v>
      </c>
      <c r="L123" s="25">
        <v>0.0</v>
      </c>
      <c r="M123" s="25">
        <v>19.0</v>
      </c>
      <c r="N123" s="25">
        <v>9.0</v>
      </c>
      <c r="O123" s="25">
        <v>4.0</v>
      </c>
      <c r="P123" s="25">
        <v>7.0</v>
      </c>
      <c r="Q123" s="25">
        <v>1.0</v>
      </c>
      <c r="R123" s="25">
        <v>2.0</v>
      </c>
      <c r="S123" s="25">
        <v>0.0</v>
      </c>
      <c r="T123" s="25">
        <v>0.0</v>
      </c>
      <c r="U123" s="25">
        <v>0.0</v>
      </c>
      <c r="V123" s="25">
        <v>0.0</v>
      </c>
      <c r="W123" s="75">
        <v>3.0</v>
      </c>
      <c r="X123" s="75">
        <v>1.0</v>
      </c>
      <c r="Y123" s="25">
        <v>0.0</v>
      </c>
      <c r="Z123" s="25">
        <v>0.0</v>
      </c>
      <c r="AA123" s="25">
        <v>0.0</v>
      </c>
      <c r="AB123" s="25">
        <v>0.0</v>
      </c>
      <c r="AC123" s="25">
        <v>12.0</v>
      </c>
      <c r="AD123" s="25">
        <v>4.0</v>
      </c>
      <c r="AE123" s="25">
        <v>12.0</v>
      </c>
      <c r="AF123" s="25">
        <v>4.0</v>
      </c>
      <c r="AG123" s="25">
        <v>117.0</v>
      </c>
    </row>
    <row r="124">
      <c r="A124" s="81" t="s">
        <v>37</v>
      </c>
      <c r="B124" s="13">
        <v>12.0</v>
      </c>
      <c r="C124" s="13">
        <v>25.0</v>
      </c>
      <c r="D124" s="13">
        <v>7.0</v>
      </c>
      <c r="E124" s="13"/>
      <c r="F124" s="42">
        <v>0.78</v>
      </c>
      <c r="G124" s="13">
        <v>19.0</v>
      </c>
      <c r="H124" s="13">
        <v>5.0</v>
      </c>
      <c r="I124" s="13">
        <v>0.0</v>
      </c>
      <c r="J124" s="13">
        <v>0.0</v>
      </c>
      <c r="K124" s="25">
        <v>0.0</v>
      </c>
      <c r="L124" s="25">
        <v>0.0</v>
      </c>
      <c r="M124" s="13">
        <v>34.0</v>
      </c>
      <c r="N124" s="13">
        <v>7.0</v>
      </c>
      <c r="O124" s="13">
        <v>2.0</v>
      </c>
      <c r="P124" s="13">
        <v>1.0</v>
      </c>
      <c r="Q124" s="13">
        <v>4.0</v>
      </c>
      <c r="R124" s="13">
        <v>12.0</v>
      </c>
      <c r="S124" s="16">
        <v>0.0</v>
      </c>
      <c r="T124" s="16">
        <v>0.0</v>
      </c>
      <c r="U124" s="16">
        <v>0.0</v>
      </c>
      <c r="V124" s="16">
        <v>0.0</v>
      </c>
      <c r="W124" s="71">
        <v>2.0</v>
      </c>
      <c r="X124" s="71">
        <v>0.0</v>
      </c>
      <c r="Y124" s="16">
        <v>0.0</v>
      </c>
      <c r="Z124" s="16">
        <v>0.0</v>
      </c>
      <c r="AA124" s="16">
        <v>0.0</v>
      </c>
      <c r="AB124" s="16">
        <v>0.0</v>
      </c>
      <c r="AC124" s="16">
        <v>8.0</v>
      </c>
      <c r="AD124" s="16">
        <v>0.0</v>
      </c>
      <c r="AE124" s="16">
        <v>8.0</v>
      </c>
      <c r="AF124" s="16">
        <v>0.0</v>
      </c>
      <c r="AG124" s="13">
        <v>123.0</v>
      </c>
    </row>
    <row r="125">
      <c r="A125" s="135" t="s">
        <v>152</v>
      </c>
      <c r="B125" s="20"/>
      <c r="C125" s="11">
        <f t="shared" ref="C125:E125" si="184">SUM(C122:C124)</f>
        <v>74</v>
      </c>
      <c r="D125" s="11">
        <f t="shared" si="184"/>
        <v>30</v>
      </c>
      <c r="E125" s="11">
        <f t="shared" si="184"/>
        <v>72</v>
      </c>
      <c r="F125" s="137">
        <f>PRODUCT(C125,(1/(C125+D125)))</f>
        <v>0.7115384615</v>
      </c>
      <c r="G125" s="11">
        <f t="shared" ref="G125:AG125" si="185">SUM(G122:G124)</f>
        <v>47</v>
      </c>
      <c r="H125" s="11">
        <f t="shared" si="185"/>
        <v>25</v>
      </c>
      <c r="I125" s="11">
        <f t="shared" si="185"/>
        <v>0</v>
      </c>
      <c r="J125" s="11">
        <f t="shared" si="185"/>
        <v>0</v>
      </c>
      <c r="K125" s="11">
        <f t="shared" si="185"/>
        <v>0</v>
      </c>
      <c r="L125" s="11">
        <f t="shared" si="185"/>
        <v>0</v>
      </c>
      <c r="M125" s="11">
        <f t="shared" si="185"/>
        <v>77</v>
      </c>
      <c r="N125" s="11">
        <f t="shared" si="185"/>
        <v>37</v>
      </c>
      <c r="O125" s="11">
        <f t="shared" si="185"/>
        <v>12</v>
      </c>
      <c r="P125" s="11">
        <f t="shared" si="185"/>
        <v>18</v>
      </c>
      <c r="Q125" s="11">
        <f t="shared" si="185"/>
        <v>7</v>
      </c>
      <c r="R125" s="11">
        <f t="shared" si="185"/>
        <v>18</v>
      </c>
      <c r="S125" s="11">
        <f t="shared" si="185"/>
        <v>2</v>
      </c>
      <c r="T125" s="11">
        <f t="shared" si="185"/>
        <v>1</v>
      </c>
      <c r="U125" s="11">
        <f t="shared" si="185"/>
        <v>2</v>
      </c>
      <c r="V125" s="11">
        <f t="shared" si="185"/>
        <v>1</v>
      </c>
      <c r="W125" s="11">
        <f t="shared" si="185"/>
        <v>5</v>
      </c>
      <c r="X125" s="11">
        <f t="shared" si="185"/>
        <v>1</v>
      </c>
      <c r="Y125" s="11">
        <f t="shared" si="185"/>
        <v>4</v>
      </c>
      <c r="Z125" s="11">
        <f t="shared" si="185"/>
        <v>2</v>
      </c>
      <c r="AA125" s="11">
        <f t="shared" si="185"/>
        <v>6</v>
      </c>
      <c r="AB125" s="11">
        <f t="shared" si="185"/>
        <v>3</v>
      </c>
      <c r="AC125" s="11">
        <f t="shared" si="185"/>
        <v>20</v>
      </c>
      <c r="AD125" s="11">
        <f t="shared" si="185"/>
        <v>4</v>
      </c>
      <c r="AE125" s="11">
        <f t="shared" si="185"/>
        <v>30</v>
      </c>
      <c r="AF125" s="11">
        <f t="shared" si="185"/>
        <v>9</v>
      </c>
      <c r="AG125" s="11">
        <f t="shared" si="185"/>
        <v>364</v>
      </c>
    </row>
  </sheetData>
  <customSheetViews>
    <customSheetView guid="{80C5BE8B-E8F7-4791-B446-34F9FB010BD0}" filter="1" showAutoFilter="1">
      <autoFilter ref="$A$1:$AF$44"/>
    </customSheetView>
  </customSheetViews>
  <mergeCells count="247">
    <mergeCell ref="Q2:R2"/>
    <mergeCell ref="S2:T2"/>
    <mergeCell ref="A5:B5"/>
    <mergeCell ref="A7:AF7"/>
    <mergeCell ref="C8:D8"/>
    <mergeCell ref="G8:H8"/>
    <mergeCell ref="I8:J8"/>
    <mergeCell ref="S16:T16"/>
    <mergeCell ref="U16:V16"/>
    <mergeCell ref="W16:X16"/>
    <mergeCell ref="AE16:AF16"/>
    <mergeCell ref="K8:L8"/>
    <mergeCell ref="M8:N8"/>
    <mergeCell ref="A13:B13"/>
    <mergeCell ref="A15:AF15"/>
    <mergeCell ref="C16:D16"/>
    <mergeCell ref="G16:H16"/>
    <mergeCell ref="I16:J16"/>
    <mergeCell ref="U2:V2"/>
    <mergeCell ref="W2:X2"/>
    <mergeCell ref="A1:AF1"/>
    <mergeCell ref="C2:D2"/>
    <mergeCell ref="G2:H2"/>
    <mergeCell ref="I2:J2"/>
    <mergeCell ref="K2:L2"/>
    <mergeCell ref="M2:N2"/>
    <mergeCell ref="O2:P2"/>
    <mergeCell ref="AE2:AF2"/>
    <mergeCell ref="O8:P8"/>
    <mergeCell ref="Q8:R8"/>
    <mergeCell ref="S8:T8"/>
    <mergeCell ref="U8:V8"/>
    <mergeCell ref="W8:X8"/>
    <mergeCell ref="AE8:AF8"/>
    <mergeCell ref="O16:P16"/>
    <mergeCell ref="Q16:R16"/>
    <mergeCell ref="K61:L61"/>
    <mergeCell ref="M61:N61"/>
    <mergeCell ref="S61:T61"/>
    <mergeCell ref="U61:V61"/>
    <mergeCell ref="W61:X61"/>
    <mergeCell ref="AE61:AF61"/>
    <mergeCell ref="O61:P61"/>
    <mergeCell ref="Q61:R61"/>
    <mergeCell ref="A66:B66"/>
    <mergeCell ref="A68:AF68"/>
    <mergeCell ref="C69:D69"/>
    <mergeCell ref="G69:H69"/>
    <mergeCell ref="I69:J69"/>
    <mergeCell ref="W76:X76"/>
    <mergeCell ref="AE76:AF76"/>
    <mergeCell ref="K69:L69"/>
    <mergeCell ref="M69:N69"/>
    <mergeCell ref="A73:B73"/>
    <mergeCell ref="A75:AF75"/>
    <mergeCell ref="C76:D76"/>
    <mergeCell ref="G76:H76"/>
    <mergeCell ref="I76:J76"/>
    <mergeCell ref="K55:L55"/>
    <mergeCell ref="M55:N55"/>
    <mergeCell ref="A58:B58"/>
    <mergeCell ref="A60:AF60"/>
    <mergeCell ref="C61:D61"/>
    <mergeCell ref="G61:H61"/>
    <mergeCell ref="I61:J61"/>
    <mergeCell ref="O69:P69"/>
    <mergeCell ref="Q69:R69"/>
    <mergeCell ref="S69:T69"/>
    <mergeCell ref="U69:V69"/>
    <mergeCell ref="W69:X69"/>
    <mergeCell ref="AE69:AF69"/>
    <mergeCell ref="O76:P76"/>
    <mergeCell ref="Q76:R76"/>
    <mergeCell ref="S76:T76"/>
    <mergeCell ref="U76:V76"/>
    <mergeCell ref="K81:L81"/>
    <mergeCell ref="M81:N81"/>
    <mergeCell ref="S81:T81"/>
    <mergeCell ref="U81:V81"/>
    <mergeCell ref="W81:X81"/>
    <mergeCell ref="AE81:AF81"/>
    <mergeCell ref="O81:P81"/>
    <mergeCell ref="Q81:R81"/>
    <mergeCell ref="A85:B85"/>
    <mergeCell ref="A87:AF87"/>
    <mergeCell ref="C88:D88"/>
    <mergeCell ref="G88:H88"/>
    <mergeCell ref="I88:J88"/>
    <mergeCell ref="W95:X95"/>
    <mergeCell ref="AE95:AF95"/>
    <mergeCell ref="K88:L88"/>
    <mergeCell ref="M88:N88"/>
    <mergeCell ref="A92:B92"/>
    <mergeCell ref="A94:AF94"/>
    <mergeCell ref="C95:D95"/>
    <mergeCell ref="G95:H95"/>
    <mergeCell ref="I95:J95"/>
    <mergeCell ref="K76:L76"/>
    <mergeCell ref="M76:N76"/>
    <mergeCell ref="A78:B78"/>
    <mergeCell ref="A80:AF80"/>
    <mergeCell ref="C81:D81"/>
    <mergeCell ref="G81:H81"/>
    <mergeCell ref="I81:J81"/>
    <mergeCell ref="O88:P88"/>
    <mergeCell ref="Q88:R88"/>
    <mergeCell ref="S88:T88"/>
    <mergeCell ref="U88:V88"/>
    <mergeCell ref="W88:X88"/>
    <mergeCell ref="AE88:AF88"/>
    <mergeCell ref="O95:P95"/>
    <mergeCell ref="Q95:R95"/>
    <mergeCell ref="S95:T95"/>
    <mergeCell ref="U95:V95"/>
    <mergeCell ref="K101:L101"/>
    <mergeCell ref="M101:N101"/>
    <mergeCell ref="S101:T101"/>
    <mergeCell ref="U101:V101"/>
    <mergeCell ref="W101:X101"/>
    <mergeCell ref="AE101:AF101"/>
    <mergeCell ref="O101:P101"/>
    <mergeCell ref="Q101:R101"/>
    <mergeCell ref="A105:B105"/>
    <mergeCell ref="A107:AF107"/>
    <mergeCell ref="C108:D108"/>
    <mergeCell ref="G108:H108"/>
    <mergeCell ref="I108:J108"/>
    <mergeCell ref="W114:X114"/>
    <mergeCell ref="AE114:AF114"/>
    <mergeCell ref="K108:L108"/>
    <mergeCell ref="M108:N108"/>
    <mergeCell ref="A111:B111"/>
    <mergeCell ref="A113:AF113"/>
    <mergeCell ref="C114:D114"/>
    <mergeCell ref="G114:H114"/>
    <mergeCell ref="I114:J114"/>
    <mergeCell ref="K95:L95"/>
    <mergeCell ref="M95:N95"/>
    <mergeCell ref="A98:B98"/>
    <mergeCell ref="A100:AF100"/>
    <mergeCell ref="C101:D101"/>
    <mergeCell ref="G101:H101"/>
    <mergeCell ref="I101:J101"/>
    <mergeCell ref="O108:P108"/>
    <mergeCell ref="Q108:R108"/>
    <mergeCell ref="S108:T108"/>
    <mergeCell ref="U108:V108"/>
    <mergeCell ref="W108:X108"/>
    <mergeCell ref="AE108:AF108"/>
    <mergeCell ref="O114:P114"/>
    <mergeCell ref="Q114:R114"/>
    <mergeCell ref="S114:T114"/>
    <mergeCell ref="U114:V114"/>
    <mergeCell ref="K121:L121"/>
    <mergeCell ref="M121:N121"/>
    <mergeCell ref="S121:T121"/>
    <mergeCell ref="U121:V121"/>
    <mergeCell ref="W121:X121"/>
    <mergeCell ref="AE121:AF121"/>
    <mergeCell ref="O22:P22"/>
    <mergeCell ref="Q22:R22"/>
    <mergeCell ref="S22:T22"/>
    <mergeCell ref="U22:V22"/>
    <mergeCell ref="W22:X22"/>
    <mergeCell ref="AE22:AF22"/>
    <mergeCell ref="K16:L16"/>
    <mergeCell ref="M16:N16"/>
    <mergeCell ref="A19:B19"/>
    <mergeCell ref="A21:AF21"/>
    <mergeCell ref="C22:D22"/>
    <mergeCell ref="G22:H22"/>
    <mergeCell ref="I22:J22"/>
    <mergeCell ref="O30:P30"/>
    <mergeCell ref="Q30:R30"/>
    <mergeCell ref="S30:T30"/>
    <mergeCell ref="U30:V30"/>
    <mergeCell ref="W30:X30"/>
    <mergeCell ref="AE30:AF30"/>
    <mergeCell ref="K22:L22"/>
    <mergeCell ref="M22:N22"/>
    <mergeCell ref="A27:B27"/>
    <mergeCell ref="A29:AF29"/>
    <mergeCell ref="C30:D30"/>
    <mergeCell ref="G30:H30"/>
    <mergeCell ref="I30:J30"/>
    <mergeCell ref="Q34:R34"/>
    <mergeCell ref="S34:T34"/>
    <mergeCell ref="U34:V34"/>
    <mergeCell ref="W34:X34"/>
    <mergeCell ref="K30:L30"/>
    <mergeCell ref="M30:N30"/>
    <mergeCell ref="A33:AF33"/>
    <mergeCell ref="C34:D34"/>
    <mergeCell ref="G34:H34"/>
    <mergeCell ref="I34:J34"/>
    <mergeCell ref="K34:L34"/>
    <mergeCell ref="AE34:AF34"/>
    <mergeCell ref="M41:N41"/>
    <mergeCell ref="O41:P41"/>
    <mergeCell ref="Q41:R41"/>
    <mergeCell ref="S41:T41"/>
    <mergeCell ref="U41:V41"/>
    <mergeCell ref="W41:X41"/>
    <mergeCell ref="M34:N34"/>
    <mergeCell ref="O34:P34"/>
    <mergeCell ref="A38:B38"/>
    <mergeCell ref="A39:AF39"/>
    <mergeCell ref="A40:AF40"/>
    <mergeCell ref="C41:D41"/>
    <mergeCell ref="G41:H41"/>
    <mergeCell ref="AE41:AF41"/>
    <mergeCell ref="O47:P47"/>
    <mergeCell ref="Q47:R47"/>
    <mergeCell ref="S47:T47"/>
    <mergeCell ref="U47:V47"/>
    <mergeCell ref="W47:X47"/>
    <mergeCell ref="AE47:AF47"/>
    <mergeCell ref="I41:J41"/>
    <mergeCell ref="K41:L41"/>
    <mergeCell ref="A44:B44"/>
    <mergeCell ref="A46:AF46"/>
    <mergeCell ref="C47:D47"/>
    <mergeCell ref="G47:H47"/>
    <mergeCell ref="I47:J47"/>
    <mergeCell ref="O55:P55"/>
    <mergeCell ref="Q55:R55"/>
    <mergeCell ref="S55:T55"/>
    <mergeCell ref="U55:V55"/>
    <mergeCell ref="W55:X55"/>
    <mergeCell ref="AE55:AF55"/>
    <mergeCell ref="K47:L47"/>
    <mergeCell ref="M47:N47"/>
    <mergeCell ref="A52:B52"/>
    <mergeCell ref="A54:AF54"/>
    <mergeCell ref="C55:D55"/>
    <mergeCell ref="G55:H55"/>
    <mergeCell ref="I55:J55"/>
    <mergeCell ref="O121:P121"/>
    <mergeCell ref="Q121:R121"/>
    <mergeCell ref="A125:B125"/>
    <mergeCell ref="K114:L114"/>
    <mergeCell ref="M114:N114"/>
    <mergeCell ref="A118:B118"/>
    <mergeCell ref="A120:AF120"/>
    <mergeCell ref="C121:D121"/>
    <mergeCell ref="G121:H121"/>
    <mergeCell ref="I121:J1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6.5"/>
    <col customWidth="1" min="3" max="3" width="13.88"/>
    <col customWidth="1" min="4" max="4" width="4.75"/>
    <col customWidth="1" min="5" max="5" width="7.5"/>
    <col customWidth="1" min="6" max="6" width="17.63"/>
    <col customWidth="1" min="7" max="7" width="4.75"/>
    <col customWidth="1" min="8" max="9" width="2.88"/>
    <col customWidth="1" min="10" max="10" width="61.25"/>
  </cols>
  <sheetData>
    <row r="1">
      <c r="A1" s="175" t="s">
        <v>171</v>
      </c>
      <c r="B1" s="8"/>
      <c r="C1" s="8"/>
      <c r="D1" s="9"/>
      <c r="E1" s="161"/>
      <c r="F1" s="175" t="s">
        <v>172</v>
      </c>
      <c r="G1" s="9"/>
      <c r="H1" s="161"/>
      <c r="I1" s="161" t="s">
        <v>173</v>
      </c>
    </row>
    <row r="2">
      <c r="A2" s="11" t="s">
        <v>0</v>
      </c>
      <c r="B2" s="11" t="s">
        <v>1</v>
      </c>
      <c r="C2" s="11" t="s">
        <v>2</v>
      </c>
      <c r="D2" s="11" t="s">
        <v>174</v>
      </c>
      <c r="E2" s="176"/>
      <c r="F2" s="11" t="s">
        <v>2</v>
      </c>
      <c r="G2" s="11" t="s">
        <v>174</v>
      </c>
      <c r="H2" s="177"/>
      <c r="I2" s="85" t="s">
        <v>175</v>
      </c>
    </row>
    <row r="3">
      <c r="A3" s="13">
        <v>1.0</v>
      </c>
      <c r="B3" s="13" t="s">
        <v>37</v>
      </c>
      <c r="C3" s="13" t="s">
        <v>6</v>
      </c>
      <c r="D3" s="178" t="s">
        <v>176</v>
      </c>
      <c r="E3" s="117"/>
      <c r="F3" s="13" t="s">
        <v>110</v>
      </c>
      <c r="G3" s="178" t="s">
        <v>177</v>
      </c>
      <c r="H3" s="179"/>
      <c r="I3" s="180" t="s">
        <v>178</v>
      </c>
    </row>
    <row r="4">
      <c r="A4" s="25">
        <v>2.0</v>
      </c>
      <c r="B4" s="25" t="s">
        <v>37</v>
      </c>
      <c r="C4" s="25" t="s">
        <v>29</v>
      </c>
      <c r="D4" s="181" t="s">
        <v>179</v>
      </c>
      <c r="E4" s="172"/>
      <c r="F4" s="25" t="s">
        <v>38</v>
      </c>
      <c r="G4" s="181" t="s">
        <v>180</v>
      </c>
      <c r="H4" s="182"/>
      <c r="I4" s="183" t="s">
        <v>181</v>
      </c>
    </row>
    <row r="5">
      <c r="A5" s="13">
        <v>3.0</v>
      </c>
      <c r="B5" s="13" t="s">
        <v>37</v>
      </c>
      <c r="C5" s="13" t="s">
        <v>24</v>
      </c>
      <c r="D5" s="178" t="s">
        <v>182</v>
      </c>
      <c r="E5" s="117"/>
      <c r="F5" s="13" t="s">
        <v>29</v>
      </c>
      <c r="G5" s="178" t="s">
        <v>183</v>
      </c>
      <c r="H5" s="179"/>
      <c r="I5" s="180" t="s">
        <v>184</v>
      </c>
    </row>
    <row r="6">
      <c r="A6" s="170">
        <v>4.0</v>
      </c>
      <c r="B6" s="25" t="s">
        <v>37</v>
      </c>
      <c r="C6" s="170" t="s">
        <v>30</v>
      </c>
      <c r="D6" s="184" t="s">
        <v>185</v>
      </c>
      <c r="E6" s="185"/>
      <c r="F6" s="185"/>
      <c r="G6" s="185"/>
      <c r="H6" s="182"/>
      <c r="I6" s="183" t="s">
        <v>186</v>
      </c>
    </row>
    <row r="7">
      <c r="A7" s="13">
        <v>5.0</v>
      </c>
      <c r="B7" s="13" t="s">
        <v>37</v>
      </c>
      <c r="C7" s="13" t="s">
        <v>127</v>
      </c>
      <c r="D7" s="178" t="s">
        <v>187</v>
      </c>
      <c r="E7" s="117"/>
      <c r="F7" s="175" t="s">
        <v>188</v>
      </c>
      <c r="G7" s="60"/>
      <c r="H7" s="179"/>
      <c r="I7" s="180" t="s">
        <v>189</v>
      </c>
    </row>
    <row r="8">
      <c r="A8" s="25">
        <v>6.0</v>
      </c>
      <c r="B8" s="25" t="s">
        <v>50</v>
      </c>
      <c r="C8" s="25" t="s">
        <v>110</v>
      </c>
      <c r="D8" s="181" t="s">
        <v>177</v>
      </c>
      <c r="E8" s="172"/>
      <c r="F8" s="11" t="s">
        <v>2</v>
      </c>
      <c r="G8" s="11" t="s">
        <v>174</v>
      </c>
      <c r="H8" s="182"/>
      <c r="I8" s="183" t="s">
        <v>190</v>
      </c>
      <c r="J8" s="182" t="s">
        <v>191</v>
      </c>
    </row>
    <row r="9">
      <c r="A9" s="13">
        <v>8.0</v>
      </c>
      <c r="B9" s="13" t="s">
        <v>37</v>
      </c>
      <c r="C9" s="13" t="s">
        <v>137</v>
      </c>
      <c r="D9" s="178" t="s">
        <v>192</v>
      </c>
      <c r="E9" s="117"/>
      <c r="F9" s="13" t="s">
        <v>6</v>
      </c>
      <c r="G9" s="178" t="s">
        <v>176</v>
      </c>
      <c r="H9" s="179"/>
      <c r="I9" s="180" t="s">
        <v>193</v>
      </c>
      <c r="J9" s="179" t="s">
        <v>194</v>
      </c>
    </row>
    <row r="10">
      <c r="A10" s="25">
        <v>9.0</v>
      </c>
      <c r="B10" s="25" t="s">
        <v>50</v>
      </c>
      <c r="C10" s="25" t="s">
        <v>29</v>
      </c>
      <c r="D10" s="181" t="s">
        <v>183</v>
      </c>
      <c r="E10" s="172"/>
      <c r="F10" s="25" t="s">
        <v>29</v>
      </c>
      <c r="G10" s="181" t="s">
        <v>179</v>
      </c>
      <c r="H10" s="182"/>
      <c r="I10" s="183" t="s">
        <v>195</v>
      </c>
      <c r="J10" s="182" t="s">
        <v>196</v>
      </c>
    </row>
    <row r="11">
      <c r="A11" s="13">
        <v>10.0</v>
      </c>
      <c r="B11" s="13" t="s">
        <v>37</v>
      </c>
      <c r="C11" s="13" t="s">
        <v>28</v>
      </c>
      <c r="D11" s="178" t="s">
        <v>197</v>
      </c>
      <c r="E11" s="117"/>
      <c r="F11" s="13" t="s">
        <v>24</v>
      </c>
      <c r="G11" s="178" t="s">
        <v>182</v>
      </c>
      <c r="H11" s="179"/>
      <c r="I11" s="180" t="s">
        <v>198</v>
      </c>
      <c r="J11" s="179" t="s">
        <v>199</v>
      </c>
    </row>
    <row r="12">
      <c r="A12" s="172"/>
      <c r="B12" s="172"/>
      <c r="C12" s="172"/>
      <c r="D12" s="183"/>
      <c r="E12" s="172"/>
      <c r="F12" s="172"/>
      <c r="G12" s="183"/>
      <c r="H12" s="182"/>
      <c r="I12" s="183" t="s">
        <v>200</v>
      </c>
      <c r="J12" s="182" t="s">
        <v>201</v>
      </c>
    </row>
    <row r="13">
      <c r="A13" s="117"/>
      <c r="B13" s="117"/>
      <c r="C13" s="117"/>
      <c r="D13" s="180"/>
      <c r="E13" s="117"/>
      <c r="F13" s="117"/>
      <c r="G13" s="180"/>
      <c r="H13" s="179"/>
      <c r="I13" s="180" t="s">
        <v>202</v>
      </c>
      <c r="J13" s="179" t="s">
        <v>203</v>
      </c>
    </row>
    <row r="14">
      <c r="A14" s="172"/>
      <c r="B14" s="172"/>
      <c r="C14" s="172"/>
      <c r="D14" s="183"/>
      <c r="E14" s="172"/>
      <c r="F14" s="172"/>
      <c r="G14" s="183"/>
      <c r="H14" s="182"/>
      <c r="I14" s="183" t="s">
        <v>204</v>
      </c>
      <c r="J14" s="182" t="s">
        <v>205</v>
      </c>
    </row>
    <row r="15">
      <c r="A15" s="117"/>
      <c r="B15" s="117"/>
      <c r="C15" s="117"/>
      <c r="D15" s="180"/>
      <c r="E15" s="117"/>
      <c r="F15" s="117"/>
      <c r="G15" s="180"/>
      <c r="H15" s="179"/>
      <c r="I15" s="180" t="s">
        <v>206</v>
      </c>
      <c r="J15" s="179" t="s">
        <v>207</v>
      </c>
    </row>
    <row r="16">
      <c r="A16" s="172"/>
      <c r="B16" s="172"/>
      <c r="C16" s="172"/>
      <c r="D16" s="183"/>
      <c r="E16" s="172"/>
      <c r="F16" s="172"/>
      <c r="G16" s="183"/>
      <c r="H16" s="182"/>
      <c r="I16" s="183" t="s">
        <v>208</v>
      </c>
      <c r="J16" s="182" t="s">
        <v>209</v>
      </c>
    </row>
    <row r="17">
      <c r="A17" s="117"/>
      <c r="B17" s="117"/>
      <c r="C17" s="117"/>
      <c r="D17" s="180"/>
      <c r="E17" s="117"/>
      <c r="F17" s="117"/>
      <c r="G17" s="180"/>
      <c r="H17" s="179"/>
      <c r="I17" s="180" t="s">
        <v>210</v>
      </c>
      <c r="J17" s="179" t="s">
        <v>211</v>
      </c>
    </row>
    <row r="18">
      <c r="A18" s="172"/>
      <c r="B18" s="172"/>
      <c r="C18" s="172"/>
      <c r="D18" s="183"/>
      <c r="E18" s="172"/>
      <c r="F18" s="172"/>
      <c r="G18" s="183"/>
      <c r="H18" s="182"/>
      <c r="I18" s="183" t="s">
        <v>212</v>
      </c>
      <c r="J18" s="182" t="s">
        <v>213</v>
      </c>
    </row>
    <row r="19">
      <c r="A19" s="117"/>
      <c r="B19" s="117"/>
      <c r="C19" s="117"/>
      <c r="D19" s="180"/>
      <c r="E19" s="117"/>
      <c r="F19" s="117"/>
      <c r="G19" s="180"/>
      <c r="H19" s="179"/>
      <c r="I19" s="180" t="s">
        <v>214</v>
      </c>
      <c r="J19" s="179" t="s">
        <v>215</v>
      </c>
    </row>
  </sheetData>
  <mergeCells count="10">
    <mergeCell ref="I6:J6"/>
    <mergeCell ref="F7:G7"/>
    <mergeCell ref="I7:J7"/>
    <mergeCell ref="A1:D1"/>
    <mergeCell ref="F1:G1"/>
    <mergeCell ref="I1:J1"/>
    <mergeCell ref="I2:J2"/>
    <mergeCell ref="I3:J3"/>
    <mergeCell ref="I4:J4"/>
    <mergeCell ref="I5:J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0"/>
    <col customWidth="1" min="2" max="2" width="6.5"/>
    <col customWidth="1" min="3" max="3" width="5.5"/>
    <col customWidth="1" min="4" max="5" width="4.5"/>
    <col customWidth="1" hidden="1" min="6" max="6" width="4.5"/>
    <col customWidth="1" min="7" max="7" width="6.13"/>
    <col customWidth="1" min="8" max="18" width="4.5"/>
    <col customWidth="1" min="19" max="19" width="3.5"/>
    <col customWidth="1" min="20" max="25" width="4.5"/>
    <col customWidth="1" hidden="1" min="26" max="33" width="4.5"/>
    <col customWidth="1" hidden="1" min="34" max="34" width="3.0"/>
    <col customWidth="1" hidden="1" min="35" max="35" width="3.88"/>
    <col customWidth="1" min="36" max="37" width="8.25"/>
    <col customWidth="1" min="38" max="38" width="9.75"/>
  </cols>
  <sheetData>
    <row r="1">
      <c r="A1" s="186" t="s">
        <v>216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41"/>
      <c r="AL1" s="41"/>
    </row>
    <row r="2">
      <c r="A2" s="57" t="s">
        <v>2</v>
      </c>
      <c r="B2" s="65" t="s">
        <v>56</v>
      </c>
      <c r="C2" s="57" t="s">
        <v>62</v>
      </c>
      <c r="D2" s="59" t="s">
        <v>34</v>
      </c>
      <c r="E2" s="9"/>
      <c r="F2" s="61"/>
      <c r="G2" s="62" t="s">
        <v>41</v>
      </c>
      <c r="H2" s="59" t="s">
        <v>48</v>
      </c>
      <c r="I2" s="9"/>
      <c r="J2" s="63" t="s">
        <v>49</v>
      </c>
      <c r="K2" s="9"/>
      <c r="L2" s="63" t="s">
        <v>63</v>
      </c>
      <c r="M2" s="9"/>
      <c r="N2" s="59" t="s">
        <v>46</v>
      </c>
      <c r="O2" s="9"/>
      <c r="P2" s="59" t="s">
        <v>64</v>
      </c>
      <c r="Q2" s="9"/>
      <c r="R2" s="59" t="s">
        <v>65</v>
      </c>
      <c r="S2" s="9"/>
      <c r="T2" s="59" t="s">
        <v>66</v>
      </c>
      <c r="U2" s="9"/>
      <c r="V2" s="59" t="s">
        <v>67</v>
      </c>
      <c r="W2" s="9"/>
      <c r="X2" s="63" t="s">
        <v>68</v>
      </c>
      <c r="Y2" s="9"/>
      <c r="Z2" s="64" t="s">
        <v>69</v>
      </c>
      <c r="AA2" s="9"/>
      <c r="AB2" s="64" t="s">
        <v>70</v>
      </c>
      <c r="AC2" s="9"/>
      <c r="AD2" s="64" t="s">
        <v>71</v>
      </c>
      <c r="AE2" s="9"/>
      <c r="AF2" s="64" t="s">
        <v>72</v>
      </c>
      <c r="AG2" s="9"/>
      <c r="AH2" s="64" t="s">
        <v>73</v>
      </c>
      <c r="AI2" s="9"/>
      <c r="AJ2" s="63" t="s">
        <v>74</v>
      </c>
      <c r="AK2" s="9"/>
      <c r="AL2" s="65" t="s">
        <v>52</v>
      </c>
    </row>
    <row r="3">
      <c r="A3" s="109" t="s">
        <v>75</v>
      </c>
      <c r="B3" s="109" t="s">
        <v>37</v>
      </c>
      <c r="C3" s="109">
        <v>11.0</v>
      </c>
      <c r="D3" s="109">
        <v>4.0</v>
      </c>
      <c r="E3" s="109">
        <v>4.0</v>
      </c>
      <c r="F3" s="110">
        <f t="shared" ref="F3:F22" si="5">SUM(D3:E3)</f>
        <v>8</v>
      </c>
      <c r="G3" s="110">
        <f t="shared" ref="G3:G22" si="6">PRODUCT(D3, (1/F3))</f>
        <v>0.5</v>
      </c>
      <c r="H3" s="109">
        <v>3.0</v>
      </c>
      <c r="I3" s="109">
        <v>4.0</v>
      </c>
      <c r="J3" s="109">
        <v>0.0</v>
      </c>
      <c r="K3" s="109">
        <v>0.0</v>
      </c>
      <c r="L3" s="109">
        <v>0.0</v>
      </c>
      <c r="M3" s="109">
        <v>0.0</v>
      </c>
      <c r="N3" s="109">
        <v>6.0</v>
      </c>
      <c r="O3" s="109">
        <v>4.0</v>
      </c>
      <c r="P3" s="109">
        <v>0.0</v>
      </c>
      <c r="Q3" s="109">
        <v>4.0</v>
      </c>
      <c r="R3" s="109">
        <v>0.0</v>
      </c>
      <c r="S3" s="109">
        <v>1.0</v>
      </c>
      <c r="T3" s="109">
        <v>0.0</v>
      </c>
      <c r="U3" s="109">
        <v>0.0</v>
      </c>
      <c r="V3" s="109">
        <v>0.0</v>
      </c>
      <c r="W3" s="187">
        <v>0.0</v>
      </c>
      <c r="X3" s="187">
        <v>1.0</v>
      </c>
      <c r="Y3" s="187">
        <v>1.0</v>
      </c>
      <c r="Z3" s="113">
        <v>0.0</v>
      </c>
      <c r="AA3" s="113">
        <v>0.0</v>
      </c>
      <c r="AB3" s="112">
        <f t="shared" ref="AB3:AC3" si="1">PRODUCT(T3,2)</f>
        <v>0</v>
      </c>
      <c r="AC3" s="112">
        <f t="shared" si="1"/>
        <v>0</v>
      </c>
      <c r="AD3" s="112">
        <f t="shared" ref="AD3:AE3" si="2">PRODUCT(V3,3)</f>
        <v>0</v>
      </c>
      <c r="AE3" s="112">
        <f t="shared" si="2"/>
        <v>0</v>
      </c>
      <c r="AF3" s="112">
        <f t="shared" ref="AF3:AG3" si="3">PRODUCT(X3,4)</f>
        <v>4</v>
      </c>
      <c r="AG3" s="112">
        <f t="shared" si="3"/>
        <v>4</v>
      </c>
      <c r="AH3" s="113">
        <f t="shared" ref="AH3:AH22" si="10">PRODUCT(5,Z3)</f>
        <v>0</v>
      </c>
      <c r="AI3" s="113">
        <f t="shared" ref="AI3:AI22" si="11">PRODUCT(AA3,5)</f>
        <v>0</v>
      </c>
      <c r="AJ3" s="109">
        <f t="shared" ref="AJ3:AK3" si="4">SUM(AB3,AD3,AF3,AH3)</f>
        <v>4</v>
      </c>
      <c r="AK3" s="109">
        <f t="shared" si="4"/>
        <v>4</v>
      </c>
      <c r="AL3" s="113">
        <v>18.0</v>
      </c>
    </row>
    <row r="4">
      <c r="A4" s="104" t="s">
        <v>6</v>
      </c>
      <c r="B4" s="104" t="s">
        <v>37</v>
      </c>
      <c r="C4" s="104">
        <v>11.0</v>
      </c>
      <c r="D4" s="104">
        <v>45.0</v>
      </c>
      <c r="E4" s="104">
        <v>3.0</v>
      </c>
      <c r="F4" s="84">
        <f t="shared" si="5"/>
        <v>48</v>
      </c>
      <c r="G4" s="84">
        <f t="shared" si="6"/>
        <v>0.9375</v>
      </c>
      <c r="H4" s="104">
        <v>29.0</v>
      </c>
      <c r="I4" s="104">
        <v>0.0</v>
      </c>
      <c r="J4" s="104">
        <v>3.0</v>
      </c>
      <c r="K4" s="104">
        <v>0.0</v>
      </c>
      <c r="L4" s="104">
        <v>1.0</v>
      </c>
      <c r="M4" s="104">
        <v>2.0</v>
      </c>
      <c r="N4" s="104">
        <v>83.0</v>
      </c>
      <c r="O4" s="104">
        <v>10.0</v>
      </c>
      <c r="P4" s="104">
        <v>6.0</v>
      </c>
      <c r="Q4" s="104">
        <v>44.0</v>
      </c>
      <c r="R4" s="104">
        <v>6.0</v>
      </c>
      <c r="S4" s="104">
        <v>3.0</v>
      </c>
      <c r="T4" s="104">
        <v>1.0</v>
      </c>
      <c r="U4" s="104">
        <v>2.0</v>
      </c>
      <c r="V4" s="104">
        <v>0.0</v>
      </c>
      <c r="W4" s="188">
        <v>2.0</v>
      </c>
      <c r="X4" s="188">
        <v>9.0</v>
      </c>
      <c r="Y4" s="188">
        <v>2.0</v>
      </c>
      <c r="Z4" s="107">
        <v>0.0</v>
      </c>
      <c r="AA4" s="107">
        <v>0.0</v>
      </c>
      <c r="AB4" s="106">
        <f t="shared" ref="AB4:AC4" si="7">PRODUCT(T4,2)</f>
        <v>2</v>
      </c>
      <c r="AC4" s="106">
        <f t="shared" si="7"/>
        <v>4</v>
      </c>
      <c r="AD4" s="106">
        <f t="shared" ref="AD4:AE4" si="8">PRODUCT(V4,3)</f>
        <v>0</v>
      </c>
      <c r="AE4" s="106">
        <f t="shared" si="8"/>
        <v>6</v>
      </c>
      <c r="AF4" s="106">
        <f t="shared" ref="AF4:AG4" si="9">PRODUCT(X4,4)</f>
        <v>36</v>
      </c>
      <c r="AG4" s="106">
        <f t="shared" si="9"/>
        <v>8</v>
      </c>
      <c r="AH4" s="107">
        <f t="shared" si="10"/>
        <v>0</v>
      </c>
      <c r="AI4" s="107">
        <f t="shared" si="11"/>
        <v>0</v>
      </c>
      <c r="AJ4" s="104">
        <f t="shared" ref="AJ4:AK4" si="12">SUM(AB4,AD4,AF4,AH4)</f>
        <v>38</v>
      </c>
      <c r="AK4" s="104">
        <f t="shared" si="12"/>
        <v>18</v>
      </c>
      <c r="AL4" s="107">
        <v>202.0</v>
      </c>
    </row>
    <row r="5">
      <c r="A5" s="109" t="s">
        <v>28</v>
      </c>
      <c r="B5" s="109" t="s">
        <v>37</v>
      </c>
      <c r="C5" s="109">
        <v>11.0</v>
      </c>
      <c r="D5" s="109">
        <v>36.0</v>
      </c>
      <c r="E5" s="109">
        <v>12.0</v>
      </c>
      <c r="F5" s="110">
        <f t="shared" si="5"/>
        <v>48</v>
      </c>
      <c r="G5" s="110">
        <f t="shared" si="6"/>
        <v>0.75</v>
      </c>
      <c r="H5" s="109">
        <v>22.0</v>
      </c>
      <c r="I5" s="109">
        <v>9.0</v>
      </c>
      <c r="J5" s="109">
        <v>3.0</v>
      </c>
      <c r="K5" s="109">
        <v>0.0</v>
      </c>
      <c r="L5" s="109">
        <v>0.0</v>
      </c>
      <c r="M5" s="109">
        <v>3.0</v>
      </c>
      <c r="N5" s="109">
        <v>44.0</v>
      </c>
      <c r="O5" s="109">
        <v>19.0</v>
      </c>
      <c r="P5" s="109">
        <v>13.0</v>
      </c>
      <c r="Q5" s="109">
        <v>8.0</v>
      </c>
      <c r="R5" s="109">
        <v>5.0</v>
      </c>
      <c r="S5" s="109">
        <v>10.0</v>
      </c>
      <c r="T5" s="109">
        <v>2.0</v>
      </c>
      <c r="U5" s="109">
        <v>1.0</v>
      </c>
      <c r="V5" s="109">
        <v>2.0</v>
      </c>
      <c r="W5" s="187">
        <v>1.0</v>
      </c>
      <c r="X5" s="187">
        <v>14.0</v>
      </c>
      <c r="Y5" s="187">
        <v>14.0</v>
      </c>
      <c r="Z5" s="113">
        <v>0.0</v>
      </c>
      <c r="AA5" s="113">
        <v>0.0</v>
      </c>
      <c r="AB5" s="112">
        <f t="shared" ref="AB5:AC5" si="13">PRODUCT(T5,2)</f>
        <v>4</v>
      </c>
      <c r="AC5" s="112">
        <f t="shared" si="13"/>
        <v>2</v>
      </c>
      <c r="AD5" s="112">
        <f t="shared" ref="AD5:AE5" si="14">PRODUCT(V5,3)</f>
        <v>6</v>
      </c>
      <c r="AE5" s="112">
        <f t="shared" si="14"/>
        <v>3</v>
      </c>
      <c r="AF5" s="112">
        <f t="shared" ref="AF5:AG5" si="15">PRODUCT(X5,4)</f>
        <v>56</v>
      </c>
      <c r="AG5" s="112">
        <f t="shared" si="15"/>
        <v>56</v>
      </c>
      <c r="AH5" s="113">
        <f t="shared" si="10"/>
        <v>0</v>
      </c>
      <c r="AI5" s="113">
        <f t="shared" si="11"/>
        <v>0</v>
      </c>
      <c r="AJ5" s="109">
        <f t="shared" ref="AJ5:AK5" si="16">SUM(AB5,AD5,AF5,AH5)</f>
        <v>66</v>
      </c>
      <c r="AK5" s="109">
        <f t="shared" si="16"/>
        <v>61</v>
      </c>
      <c r="AL5" s="113">
        <v>156.0</v>
      </c>
    </row>
    <row r="6">
      <c r="A6" s="104" t="s">
        <v>11</v>
      </c>
      <c r="B6" s="104" t="s">
        <v>37</v>
      </c>
      <c r="C6" s="104">
        <v>11.0</v>
      </c>
      <c r="D6" s="104">
        <v>24.0</v>
      </c>
      <c r="E6" s="104">
        <v>19.0</v>
      </c>
      <c r="F6" s="84">
        <f t="shared" si="5"/>
        <v>43</v>
      </c>
      <c r="G6" s="84">
        <f t="shared" si="6"/>
        <v>0.5581395349</v>
      </c>
      <c r="H6" s="104">
        <v>16.0</v>
      </c>
      <c r="I6" s="104">
        <v>14.0</v>
      </c>
      <c r="J6" s="104">
        <v>0.0</v>
      </c>
      <c r="K6" s="104">
        <v>1.0</v>
      </c>
      <c r="L6" s="104">
        <v>0.0</v>
      </c>
      <c r="M6" s="104">
        <v>1.0</v>
      </c>
      <c r="N6" s="104">
        <v>22.0</v>
      </c>
      <c r="O6" s="104">
        <v>30.0</v>
      </c>
      <c r="P6" s="104">
        <v>11.0</v>
      </c>
      <c r="Q6" s="104">
        <v>9.0</v>
      </c>
      <c r="R6" s="104">
        <v>4.0</v>
      </c>
      <c r="S6" s="104">
        <v>13.0</v>
      </c>
      <c r="T6" s="104">
        <v>3.0</v>
      </c>
      <c r="U6" s="104">
        <v>1.0</v>
      </c>
      <c r="V6" s="104">
        <v>1.0</v>
      </c>
      <c r="W6" s="188">
        <v>2.0</v>
      </c>
      <c r="X6" s="188">
        <v>3.0</v>
      </c>
      <c r="Y6" s="188">
        <v>7.0</v>
      </c>
      <c r="Z6" s="107">
        <v>0.0</v>
      </c>
      <c r="AA6" s="107">
        <v>0.0</v>
      </c>
      <c r="AB6" s="106">
        <f t="shared" ref="AB6:AC6" si="17">PRODUCT(T6,2)</f>
        <v>6</v>
      </c>
      <c r="AC6" s="106">
        <f t="shared" si="17"/>
        <v>2</v>
      </c>
      <c r="AD6" s="106">
        <f t="shared" ref="AD6:AE6" si="18">PRODUCT(V6,3)</f>
        <v>3</v>
      </c>
      <c r="AE6" s="106">
        <f t="shared" si="18"/>
        <v>6</v>
      </c>
      <c r="AF6" s="106">
        <f t="shared" ref="AF6:AG6" si="19">PRODUCT(X6,4)</f>
        <v>12</v>
      </c>
      <c r="AG6" s="106">
        <f t="shared" si="19"/>
        <v>28</v>
      </c>
      <c r="AH6" s="107">
        <f t="shared" si="10"/>
        <v>0</v>
      </c>
      <c r="AI6" s="107">
        <f t="shared" si="11"/>
        <v>0</v>
      </c>
      <c r="AJ6" s="104">
        <f t="shared" ref="AJ6:AK6" si="20">SUM(AB6,AD6,AF6,AH6)</f>
        <v>21</v>
      </c>
      <c r="AK6" s="104">
        <f t="shared" si="20"/>
        <v>36</v>
      </c>
      <c r="AL6" s="107">
        <v>102.0</v>
      </c>
    </row>
    <row r="7">
      <c r="A7" s="109" t="s">
        <v>30</v>
      </c>
      <c r="B7" s="109" t="s">
        <v>37</v>
      </c>
      <c r="C7" s="109">
        <v>11.0</v>
      </c>
      <c r="D7" s="109">
        <v>20.0</v>
      </c>
      <c r="E7" s="109">
        <v>13.0</v>
      </c>
      <c r="F7" s="110">
        <f t="shared" si="5"/>
        <v>33</v>
      </c>
      <c r="G7" s="110">
        <f t="shared" si="6"/>
        <v>0.6060606061</v>
      </c>
      <c r="H7" s="109">
        <v>16.0</v>
      </c>
      <c r="I7" s="109">
        <v>8.0</v>
      </c>
      <c r="J7" s="109">
        <v>0.0</v>
      </c>
      <c r="K7" s="109">
        <v>3.0</v>
      </c>
      <c r="L7" s="109">
        <v>0.0</v>
      </c>
      <c r="M7" s="109">
        <v>2.0</v>
      </c>
      <c r="N7" s="109">
        <v>29.0</v>
      </c>
      <c r="O7" s="109">
        <v>29.0</v>
      </c>
      <c r="P7" s="109">
        <v>18.0</v>
      </c>
      <c r="Q7" s="109">
        <v>7.0</v>
      </c>
      <c r="R7" s="109">
        <v>0.0</v>
      </c>
      <c r="S7" s="109">
        <v>5.0</v>
      </c>
      <c r="T7" s="109">
        <v>1.0</v>
      </c>
      <c r="U7" s="109">
        <v>2.0</v>
      </c>
      <c r="V7" s="109">
        <v>1.0</v>
      </c>
      <c r="W7" s="187">
        <v>4.0</v>
      </c>
      <c r="X7" s="187">
        <v>4.0</v>
      </c>
      <c r="Y7" s="187">
        <v>10.0</v>
      </c>
      <c r="Z7" s="113">
        <v>0.0</v>
      </c>
      <c r="AA7" s="113">
        <v>0.0</v>
      </c>
      <c r="AB7" s="112">
        <f t="shared" ref="AB7:AC7" si="21">PRODUCT(T7,2)</f>
        <v>2</v>
      </c>
      <c r="AC7" s="112">
        <f t="shared" si="21"/>
        <v>4</v>
      </c>
      <c r="AD7" s="112">
        <f t="shared" ref="AD7:AE7" si="22">PRODUCT(V7,3)</f>
        <v>3</v>
      </c>
      <c r="AE7" s="112">
        <f t="shared" si="22"/>
        <v>12</v>
      </c>
      <c r="AF7" s="112">
        <f t="shared" ref="AF7:AG7" si="23">PRODUCT(X7,4)</f>
        <v>16</v>
      </c>
      <c r="AG7" s="112">
        <f t="shared" si="23"/>
        <v>40</v>
      </c>
      <c r="AH7" s="113">
        <f t="shared" si="10"/>
        <v>0</v>
      </c>
      <c r="AI7" s="113">
        <f t="shared" si="11"/>
        <v>0</v>
      </c>
      <c r="AJ7" s="109">
        <f t="shared" ref="AJ7:AK7" si="24">SUM(AB7,AD7,AF7,AH7)</f>
        <v>21</v>
      </c>
      <c r="AK7" s="109">
        <f t="shared" si="24"/>
        <v>56</v>
      </c>
      <c r="AL7" s="113">
        <v>96.0</v>
      </c>
    </row>
    <row r="8">
      <c r="A8" s="104" t="s">
        <v>99</v>
      </c>
      <c r="B8" s="104" t="s">
        <v>37</v>
      </c>
      <c r="C8" s="104">
        <v>10.0</v>
      </c>
      <c r="D8" s="104">
        <v>13.0</v>
      </c>
      <c r="E8" s="104">
        <v>10.0</v>
      </c>
      <c r="F8" s="84">
        <f t="shared" si="5"/>
        <v>23</v>
      </c>
      <c r="G8" s="84">
        <f t="shared" si="6"/>
        <v>0.5652173913</v>
      </c>
      <c r="H8" s="104">
        <v>9.0</v>
      </c>
      <c r="I8" s="104">
        <v>7.0</v>
      </c>
      <c r="J8" s="104">
        <v>0.0</v>
      </c>
      <c r="K8" s="104">
        <v>3.0</v>
      </c>
      <c r="L8" s="104">
        <v>0.0</v>
      </c>
      <c r="M8" s="104">
        <v>0.0</v>
      </c>
      <c r="N8" s="104">
        <v>10.0</v>
      </c>
      <c r="O8" s="104">
        <v>25.0</v>
      </c>
      <c r="P8" s="104">
        <v>5.0</v>
      </c>
      <c r="Q8" s="104">
        <v>11.0</v>
      </c>
      <c r="R8" s="104">
        <v>4.0</v>
      </c>
      <c r="S8" s="104">
        <v>2.0</v>
      </c>
      <c r="T8" s="104">
        <v>0.0</v>
      </c>
      <c r="U8" s="104">
        <v>3.0</v>
      </c>
      <c r="V8" s="104">
        <v>0.0</v>
      </c>
      <c r="W8" s="188">
        <v>0.0</v>
      </c>
      <c r="X8" s="188">
        <v>2.0</v>
      </c>
      <c r="Y8" s="188">
        <v>11.0</v>
      </c>
      <c r="Z8" s="107">
        <v>0.0</v>
      </c>
      <c r="AA8" s="107">
        <v>0.0</v>
      </c>
      <c r="AB8" s="106">
        <f t="shared" ref="AB8:AC8" si="25">PRODUCT(T8,2)</f>
        <v>0</v>
      </c>
      <c r="AC8" s="106">
        <f t="shared" si="25"/>
        <v>6</v>
      </c>
      <c r="AD8" s="106">
        <f t="shared" ref="AD8:AE8" si="26">PRODUCT(V8,3)</f>
        <v>0</v>
      </c>
      <c r="AE8" s="106">
        <f t="shared" si="26"/>
        <v>0</v>
      </c>
      <c r="AF8" s="106">
        <f t="shared" ref="AF8:AG8" si="27">PRODUCT(X8,4)</f>
        <v>8</v>
      </c>
      <c r="AG8" s="106">
        <f t="shared" si="27"/>
        <v>44</v>
      </c>
      <c r="AH8" s="107">
        <f t="shared" si="10"/>
        <v>0</v>
      </c>
      <c r="AI8" s="107">
        <f t="shared" si="11"/>
        <v>0</v>
      </c>
      <c r="AJ8" s="104">
        <f t="shared" ref="AJ8:AK8" si="28">SUM(AB8,AD8,AF8,AH8)</f>
        <v>8</v>
      </c>
      <c r="AK8" s="104">
        <f t="shared" si="28"/>
        <v>50</v>
      </c>
      <c r="AL8" s="107">
        <v>54.0</v>
      </c>
    </row>
    <row r="9">
      <c r="A9" s="109" t="s">
        <v>112</v>
      </c>
      <c r="B9" s="109" t="s">
        <v>37</v>
      </c>
      <c r="C9" s="109">
        <v>9.0</v>
      </c>
      <c r="D9" s="109">
        <v>26.0</v>
      </c>
      <c r="E9" s="109">
        <v>14.0</v>
      </c>
      <c r="F9" s="110">
        <f t="shared" si="5"/>
        <v>40</v>
      </c>
      <c r="G9" s="110">
        <f t="shared" si="6"/>
        <v>0.65</v>
      </c>
      <c r="H9" s="109">
        <v>16.0</v>
      </c>
      <c r="I9" s="109">
        <v>10.0</v>
      </c>
      <c r="J9" s="109">
        <v>0.0</v>
      </c>
      <c r="K9" s="109">
        <v>0.0</v>
      </c>
      <c r="L9" s="109">
        <v>0.0</v>
      </c>
      <c r="M9" s="109">
        <v>2.0</v>
      </c>
      <c r="N9" s="109">
        <v>27.0</v>
      </c>
      <c r="O9" s="109">
        <v>25.0</v>
      </c>
      <c r="P9" s="109">
        <v>10.0</v>
      </c>
      <c r="Q9" s="109">
        <v>10.0</v>
      </c>
      <c r="R9" s="109">
        <v>8.0</v>
      </c>
      <c r="S9" s="109">
        <v>8.0</v>
      </c>
      <c r="T9" s="109">
        <v>4.0</v>
      </c>
      <c r="U9" s="109">
        <v>2.0</v>
      </c>
      <c r="V9" s="109">
        <v>2.0</v>
      </c>
      <c r="W9" s="187">
        <v>1.0</v>
      </c>
      <c r="X9" s="187">
        <v>4.0</v>
      </c>
      <c r="Y9" s="187">
        <v>2.0</v>
      </c>
      <c r="Z9" s="113">
        <v>0.0</v>
      </c>
      <c r="AA9" s="113">
        <v>1.0</v>
      </c>
      <c r="AB9" s="112">
        <f t="shared" ref="AB9:AC9" si="29">PRODUCT(T9,2)</f>
        <v>8</v>
      </c>
      <c r="AC9" s="112">
        <f t="shared" si="29"/>
        <v>4</v>
      </c>
      <c r="AD9" s="112">
        <f t="shared" ref="AD9:AE9" si="30">PRODUCT(V9,3)</f>
        <v>6</v>
      </c>
      <c r="AE9" s="112">
        <f t="shared" si="30"/>
        <v>3</v>
      </c>
      <c r="AF9" s="112">
        <f t="shared" ref="AF9:AG9" si="31">PRODUCT(X9,4)</f>
        <v>16</v>
      </c>
      <c r="AG9" s="112">
        <f t="shared" si="31"/>
        <v>8</v>
      </c>
      <c r="AH9" s="113">
        <f t="shared" si="10"/>
        <v>0</v>
      </c>
      <c r="AI9" s="113">
        <f t="shared" si="11"/>
        <v>5</v>
      </c>
      <c r="AJ9" s="109">
        <f t="shared" ref="AJ9:AK9" si="32">SUM(AB9,AD9,AF9,AH9)</f>
        <v>30</v>
      </c>
      <c r="AK9" s="109">
        <f t="shared" si="32"/>
        <v>20</v>
      </c>
      <c r="AL9" s="113">
        <v>102.0</v>
      </c>
    </row>
    <row r="10">
      <c r="A10" s="104" t="s">
        <v>114</v>
      </c>
      <c r="B10" s="104" t="s">
        <v>37</v>
      </c>
      <c r="C10" s="104">
        <v>11.0</v>
      </c>
      <c r="D10" s="104">
        <v>5.0</v>
      </c>
      <c r="E10" s="104">
        <v>19.0</v>
      </c>
      <c r="F10" s="84">
        <f t="shared" si="5"/>
        <v>24</v>
      </c>
      <c r="G10" s="84">
        <f t="shared" si="6"/>
        <v>0.2083333333</v>
      </c>
      <c r="H10" s="104">
        <v>1.0</v>
      </c>
      <c r="I10" s="104">
        <v>16.0</v>
      </c>
      <c r="J10" s="104">
        <v>0.0</v>
      </c>
      <c r="K10" s="104">
        <v>2.0</v>
      </c>
      <c r="L10" s="104">
        <v>0.0</v>
      </c>
      <c r="M10" s="104">
        <v>1.0</v>
      </c>
      <c r="N10" s="104">
        <v>0.0</v>
      </c>
      <c r="O10" s="104">
        <v>29.0</v>
      </c>
      <c r="P10" s="104">
        <v>3.0</v>
      </c>
      <c r="Q10" s="104">
        <v>8.0</v>
      </c>
      <c r="R10" s="104">
        <v>3.0</v>
      </c>
      <c r="S10" s="104">
        <v>4.0</v>
      </c>
      <c r="T10" s="104">
        <v>0.0</v>
      </c>
      <c r="U10" s="104">
        <v>3.0</v>
      </c>
      <c r="V10" s="104">
        <v>0.0</v>
      </c>
      <c r="W10" s="188">
        <v>2.0</v>
      </c>
      <c r="X10" s="188">
        <v>0.0</v>
      </c>
      <c r="Y10" s="188">
        <v>6.0</v>
      </c>
      <c r="Z10" s="107">
        <v>0.0</v>
      </c>
      <c r="AA10" s="107">
        <v>0.0</v>
      </c>
      <c r="AB10" s="106">
        <f t="shared" ref="AB10:AC10" si="33">PRODUCT(T10,2)</f>
        <v>0</v>
      </c>
      <c r="AC10" s="106">
        <f t="shared" si="33"/>
        <v>6</v>
      </c>
      <c r="AD10" s="106">
        <f t="shared" ref="AD10:AE10" si="34">PRODUCT(V10,3)</f>
        <v>0</v>
      </c>
      <c r="AE10" s="106">
        <f t="shared" si="34"/>
        <v>6</v>
      </c>
      <c r="AF10" s="106">
        <f t="shared" ref="AF10:AG10" si="35">PRODUCT(X10,4)</f>
        <v>0</v>
      </c>
      <c r="AG10" s="106">
        <f t="shared" si="35"/>
        <v>24</v>
      </c>
      <c r="AH10" s="107">
        <f t="shared" si="10"/>
        <v>0</v>
      </c>
      <c r="AI10" s="107">
        <f t="shared" si="11"/>
        <v>0</v>
      </c>
      <c r="AJ10" s="104">
        <f t="shared" ref="AJ10:AK10" si="36">SUM(AB10,AD10,AF10,AH10)</f>
        <v>0</v>
      </c>
      <c r="AK10" s="104">
        <f t="shared" si="36"/>
        <v>36</v>
      </c>
      <c r="AL10" s="107">
        <v>6.0</v>
      </c>
    </row>
    <row r="11">
      <c r="A11" s="109" t="s">
        <v>24</v>
      </c>
      <c r="B11" s="109" t="s">
        <v>37</v>
      </c>
      <c r="C11" s="109">
        <v>11.0</v>
      </c>
      <c r="D11" s="109">
        <v>30.0</v>
      </c>
      <c r="E11" s="109">
        <v>11.0</v>
      </c>
      <c r="F11" s="110">
        <f t="shared" si="5"/>
        <v>41</v>
      </c>
      <c r="G11" s="110">
        <f t="shared" si="6"/>
        <v>0.7317073171</v>
      </c>
      <c r="H11" s="109">
        <v>22.0</v>
      </c>
      <c r="I11" s="109">
        <v>10.0</v>
      </c>
      <c r="J11" s="109">
        <v>0.0</v>
      </c>
      <c r="K11" s="109">
        <v>0.0</v>
      </c>
      <c r="L11" s="109">
        <v>0.0</v>
      </c>
      <c r="M11" s="109">
        <v>0.0</v>
      </c>
      <c r="N11" s="109">
        <v>33.0</v>
      </c>
      <c r="O11" s="109">
        <v>16.0</v>
      </c>
      <c r="P11" s="109">
        <v>10.0</v>
      </c>
      <c r="Q11" s="109">
        <v>4.0</v>
      </c>
      <c r="R11" s="109">
        <v>3.0</v>
      </c>
      <c r="S11" s="109">
        <v>7.0</v>
      </c>
      <c r="T11" s="109">
        <v>2.0</v>
      </c>
      <c r="U11" s="109">
        <v>0.0</v>
      </c>
      <c r="V11" s="109">
        <v>2.0</v>
      </c>
      <c r="W11" s="187">
        <v>0.0</v>
      </c>
      <c r="X11" s="187">
        <v>6.0</v>
      </c>
      <c r="Y11" s="187">
        <v>0.0</v>
      </c>
      <c r="Z11" s="113">
        <v>0.0</v>
      </c>
      <c r="AA11" s="113">
        <v>0.0</v>
      </c>
      <c r="AB11" s="112">
        <f t="shared" ref="AB11:AC11" si="37">PRODUCT(T11,2)</f>
        <v>4</v>
      </c>
      <c r="AC11" s="112">
        <f t="shared" si="37"/>
        <v>0</v>
      </c>
      <c r="AD11" s="112">
        <f t="shared" ref="AD11:AE11" si="38">PRODUCT(V11,3)</f>
        <v>6</v>
      </c>
      <c r="AE11" s="112">
        <f t="shared" si="38"/>
        <v>0</v>
      </c>
      <c r="AF11" s="112">
        <f t="shared" ref="AF11:AG11" si="39">PRODUCT(X11,4)</f>
        <v>24</v>
      </c>
      <c r="AG11" s="112">
        <f t="shared" si="39"/>
        <v>0</v>
      </c>
      <c r="AH11" s="113">
        <f t="shared" si="10"/>
        <v>0</v>
      </c>
      <c r="AI11" s="113">
        <f t="shared" si="11"/>
        <v>0</v>
      </c>
      <c r="AJ11" s="109">
        <f t="shared" ref="AJ11:AK11" si="40">SUM(AB11,AD11,AF11,AH11)</f>
        <v>34</v>
      </c>
      <c r="AK11" s="109">
        <f t="shared" si="40"/>
        <v>0</v>
      </c>
      <c r="AL11" s="113">
        <v>132.0</v>
      </c>
    </row>
    <row r="12">
      <c r="A12" s="104" t="s">
        <v>4</v>
      </c>
      <c r="B12" s="104" t="s">
        <v>37</v>
      </c>
      <c r="C12" s="104">
        <v>11.0</v>
      </c>
      <c r="D12" s="104">
        <v>44.0</v>
      </c>
      <c r="E12" s="104">
        <v>12.0</v>
      </c>
      <c r="F12" s="84">
        <f t="shared" si="5"/>
        <v>56</v>
      </c>
      <c r="G12" s="84">
        <f t="shared" si="6"/>
        <v>0.7857142857</v>
      </c>
      <c r="H12" s="104">
        <v>37.0</v>
      </c>
      <c r="I12" s="104">
        <v>7.0</v>
      </c>
      <c r="J12" s="104">
        <v>1.0</v>
      </c>
      <c r="K12" s="104">
        <v>1.0</v>
      </c>
      <c r="L12" s="104">
        <v>0.0</v>
      </c>
      <c r="M12" s="104">
        <v>2.0</v>
      </c>
      <c r="N12" s="104">
        <v>49.0</v>
      </c>
      <c r="O12" s="104">
        <v>18.0</v>
      </c>
      <c r="P12" s="104">
        <v>5.0</v>
      </c>
      <c r="Q12" s="104">
        <v>13.0</v>
      </c>
      <c r="R12" s="104">
        <v>0.0</v>
      </c>
      <c r="S12" s="104">
        <v>1.0</v>
      </c>
      <c r="T12" s="104">
        <v>1.0</v>
      </c>
      <c r="U12" s="104">
        <v>1.0</v>
      </c>
      <c r="V12" s="104">
        <v>1.0</v>
      </c>
      <c r="W12" s="188">
        <v>2.0</v>
      </c>
      <c r="X12" s="188">
        <v>5.0</v>
      </c>
      <c r="Y12" s="188">
        <v>8.0</v>
      </c>
      <c r="Z12" s="107">
        <v>0.0</v>
      </c>
      <c r="AA12" s="107">
        <v>0.0</v>
      </c>
      <c r="AB12" s="106">
        <f t="shared" ref="AB12:AC12" si="41">PRODUCT(T12,2)</f>
        <v>2</v>
      </c>
      <c r="AC12" s="106">
        <f t="shared" si="41"/>
        <v>2</v>
      </c>
      <c r="AD12" s="106">
        <f t="shared" ref="AD12:AE12" si="42">PRODUCT(V12,3)</f>
        <v>3</v>
      </c>
      <c r="AE12" s="106">
        <f t="shared" si="42"/>
        <v>6</v>
      </c>
      <c r="AF12" s="106">
        <f t="shared" ref="AF12:AG12" si="43">PRODUCT(X12,4)</f>
        <v>20</v>
      </c>
      <c r="AG12" s="106">
        <f t="shared" si="43"/>
        <v>32</v>
      </c>
      <c r="AH12" s="107">
        <f t="shared" si="10"/>
        <v>0</v>
      </c>
      <c r="AI12" s="107">
        <f t="shared" si="11"/>
        <v>0</v>
      </c>
      <c r="AJ12" s="104">
        <f t="shared" ref="AJ12:AK12" si="44">SUM(AB12,AD12,AF12,AH12)</f>
        <v>25</v>
      </c>
      <c r="AK12" s="104">
        <f t="shared" si="44"/>
        <v>40</v>
      </c>
      <c r="AL12" s="107">
        <v>227.0</v>
      </c>
    </row>
    <row r="13">
      <c r="A13" s="109" t="s">
        <v>119</v>
      </c>
      <c r="B13" s="109" t="s">
        <v>37</v>
      </c>
      <c r="C13" s="109">
        <v>11.0</v>
      </c>
      <c r="D13" s="109">
        <v>2.0</v>
      </c>
      <c r="E13" s="109">
        <v>6.0</v>
      </c>
      <c r="F13" s="110">
        <f t="shared" si="5"/>
        <v>8</v>
      </c>
      <c r="G13" s="110">
        <f t="shared" si="6"/>
        <v>0.25</v>
      </c>
      <c r="H13" s="109">
        <v>2.0</v>
      </c>
      <c r="I13" s="109">
        <v>6.0</v>
      </c>
      <c r="J13" s="109">
        <v>0.0</v>
      </c>
      <c r="K13" s="109">
        <v>0.0</v>
      </c>
      <c r="L13" s="109">
        <v>0.0</v>
      </c>
      <c r="M13" s="109">
        <v>0.0</v>
      </c>
      <c r="N13" s="109">
        <v>6.0</v>
      </c>
      <c r="O13" s="109">
        <v>6.0</v>
      </c>
      <c r="P13" s="109">
        <v>3.0</v>
      </c>
      <c r="Q13" s="109">
        <v>2.0</v>
      </c>
      <c r="R13" s="109">
        <v>1.0</v>
      </c>
      <c r="S13" s="109">
        <v>3.0</v>
      </c>
      <c r="T13" s="109">
        <v>0.0</v>
      </c>
      <c r="U13" s="109">
        <v>1.0</v>
      </c>
      <c r="V13" s="109">
        <v>0.0</v>
      </c>
      <c r="W13" s="187">
        <v>0.0</v>
      </c>
      <c r="X13" s="187">
        <v>1.0</v>
      </c>
      <c r="Y13" s="187">
        <v>0.0</v>
      </c>
      <c r="Z13" s="113">
        <v>0.0</v>
      </c>
      <c r="AA13" s="113">
        <v>0.0</v>
      </c>
      <c r="AB13" s="112">
        <f t="shared" ref="AB13:AC13" si="45">PRODUCT(T13,2)</f>
        <v>0</v>
      </c>
      <c r="AC13" s="112">
        <f t="shared" si="45"/>
        <v>2</v>
      </c>
      <c r="AD13" s="112">
        <f t="shared" ref="AD13:AE13" si="46">PRODUCT(V13,3)</f>
        <v>0</v>
      </c>
      <c r="AE13" s="112">
        <f t="shared" si="46"/>
        <v>0</v>
      </c>
      <c r="AF13" s="112">
        <f t="shared" ref="AF13:AG13" si="47">PRODUCT(X13,4)</f>
        <v>4</v>
      </c>
      <c r="AG13" s="112">
        <f t="shared" si="47"/>
        <v>0</v>
      </c>
      <c r="AH13" s="113">
        <f t="shared" si="10"/>
        <v>0</v>
      </c>
      <c r="AI13" s="113">
        <f t="shared" si="11"/>
        <v>0</v>
      </c>
      <c r="AJ13" s="109">
        <f t="shared" ref="AJ13:AK13" si="48">SUM(AB13,AD13,AF13,AH13)</f>
        <v>4</v>
      </c>
      <c r="AK13" s="109">
        <f t="shared" si="48"/>
        <v>2</v>
      </c>
      <c r="AL13" s="113">
        <v>12.0</v>
      </c>
    </row>
    <row r="14">
      <c r="A14" s="104" t="s">
        <v>122</v>
      </c>
      <c r="B14" s="104" t="s">
        <v>37</v>
      </c>
      <c r="C14" s="104">
        <v>9.0</v>
      </c>
      <c r="D14" s="104">
        <v>12.0</v>
      </c>
      <c r="E14" s="104">
        <v>17.0</v>
      </c>
      <c r="F14" s="84">
        <f t="shared" si="5"/>
        <v>29</v>
      </c>
      <c r="G14" s="84">
        <f t="shared" si="6"/>
        <v>0.4137931034</v>
      </c>
      <c r="H14" s="104">
        <v>8.0</v>
      </c>
      <c r="I14" s="104">
        <v>13.0</v>
      </c>
      <c r="J14" s="104">
        <v>0.0</v>
      </c>
      <c r="K14" s="104">
        <v>3.0</v>
      </c>
      <c r="L14" s="104">
        <v>0.0</v>
      </c>
      <c r="M14" s="104">
        <v>1.0</v>
      </c>
      <c r="N14" s="104">
        <v>10.0</v>
      </c>
      <c r="O14" s="104">
        <v>27.0</v>
      </c>
      <c r="P14" s="104">
        <v>8.0</v>
      </c>
      <c r="Q14" s="104">
        <v>4.0</v>
      </c>
      <c r="R14" s="104">
        <v>1.0</v>
      </c>
      <c r="S14" s="104">
        <v>6.0</v>
      </c>
      <c r="T14" s="104">
        <v>0.0</v>
      </c>
      <c r="U14" s="104">
        <v>2.0</v>
      </c>
      <c r="V14" s="104">
        <v>0.0</v>
      </c>
      <c r="W14" s="188">
        <v>6.0</v>
      </c>
      <c r="X14" s="188">
        <v>1.0</v>
      </c>
      <c r="Y14" s="188">
        <v>6.0</v>
      </c>
      <c r="Z14" s="107">
        <v>0.0</v>
      </c>
      <c r="AA14" s="107">
        <v>0.0</v>
      </c>
      <c r="AB14" s="106">
        <f t="shared" ref="AB14:AC14" si="49">PRODUCT(T14,2)</f>
        <v>0</v>
      </c>
      <c r="AC14" s="106">
        <f t="shared" si="49"/>
        <v>4</v>
      </c>
      <c r="AD14" s="106">
        <f t="shared" ref="AD14:AE14" si="50">PRODUCT(V14,3)</f>
        <v>0</v>
      </c>
      <c r="AE14" s="106">
        <f t="shared" si="50"/>
        <v>18</v>
      </c>
      <c r="AF14" s="106">
        <f t="shared" ref="AF14:AG14" si="51">PRODUCT(X14,4)</f>
        <v>4</v>
      </c>
      <c r="AG14" s="106">
        <f t="shared" si="51"/>
        <v>24</v>
      </c>
      <c r="AH14" s="107">
        <f t="shared" si="10"/>
        <v>0</v>
      </c>
      <c r="AI14" s="107">
        <f t="shared" si="11"/>
        <v>0</v>
      </c>
      <c r="AJ14" s="104">
        <f t="shared" ref="AJ14:AK14" si="52">SUM(AB14,AD14,AF14,AH14)</f>
        <v>4</v>
      </c>
      <c r="AK14" s="104">
        <f t="shared" si="52"/>
        <v>46</v>
      </c>
      <c r="AL14" s="107">
        <v>51.0</v>
      </c>
    </row>
    <row r="15">
      <c r="A15" s="109" t="s">
        <v>124</v>
      </c>
      <c r="B15" s="109" t="s">
        <v>37</v>
      </c>
      <c r="C15" s="109">
        <v>11.0</v>
      </c>
      <c r="D15" s="109">
        <v>4.0</v>
      </c>
      <c r="E15" s="109">
        <v>5.0</v>
      </c>
      <c r="F15" s="110">
        <f t="shared" si="5"/>
        <v>9</v>
      </c>
      <c r="G15" s="110">
        <f t="shared" si="6"/>
        <v>0.4444444444</v>
      </c>
      <c r="H15" s="109">
        <v>2.0</v>
      </c>
      <c r="I15" s="109">
        <v>3.0</v>
      </c>
      <c r="J15" s="109">
        <v>0.0</v>
      </c>
      <c r="K15" s="109">
        <v>1.0</v>
      </c>
      <c r="L15" s="109">
        <v>0.0</v>
      </c>
      <c r="M15" s="109">
        <v>0.0</v>
      </c>
      <c r="N15" s="109">
        <v>2.0</v>
      </c>
      <c r="O15" s="109">
        <v>7.0</v>
      </c>
      <c r="P15" s="109">
        <v>2.0</v>
      </c>
      <c r="Q15" s="109">
        <v>2.0</v>
      </c>
      <c r="R15" s="109">
        <v>2.0</v>
      </c>
      <c r="S15" s="109">
        <v>3.0</v>
      </c>
      <c r="T15" s="109">
        <v>0.0</v>
      </c>
      <c r="U15" s="109">
        <v>0.0</v>
      </c>
      <c r="V15" s="109">
        <v>0.0</v>
      </c>
      <c r="W15" s="187">
        <v>0.0</v>
      </c>
      <c r="X15" s="187">
        <v>0.0</v>
      </c>
      <c r="Y15" s="187">
        <v>2.0</v>
      </c>
      <c r="Z15" s="113">
        <v>0.0</v>
      </c>
      <c r="AA15" s="113">
        <v>0.0</v>
      </c>
      <c r="AB15" s="112">
        <f t="shared" ref="AB15:AC15" si="53">PRODUCT(T15,2)</f>
        <v>0</v>
      </c>
      <c r="AC15" s="112">
        <f t="shared" si="53"/>
        <v>0</v>
      </c>
      <c r="AD15" s="112">
        <f t="shared" ref="AD15:AE15" si="54">PRODUCT(V15,3)</f>
        <v>0</v>
      </c>
      <c r="AE15" s="112">
        <f t="shared" si="54"/>
        <v>0</v>
      </c>
      <c r="AF15" s="112">
        <f t="shared" ref="AF15:AG15" si="55">PRODUCT(X15,4)</f>
        <v>0</v>
      </c>
      <c r="AG15" s="112">
        <f t="shared" si="55"/>
        <v>8</v>
      </c>
      <c r="AH15" s="113">
        <f t="shared" si="10"/>
        <v>0</v>
      </c>
      <c r="AI15" s="113">
        <f t="shared" si="11"/>
        <v>0</v>
      </c>
      <c r="AJ15" s="109">
        <f t="shared" ref="AJ15:AK15" si="56">SUM(AB15,AD15,AF15,AH15)</f>
        <v>0</v>
      </c>
      <c r="AK15" s="109">
        <f t="shared" si="56"/>
        <v>8</v>
      </c>
      <c r="AL15" s="113">
        <v>12.0</v>
      </c>
    </row>
    <row r="16">
      <c r="A16" s="104" t="s">
        <v>127</v>
      </c>
      <c r="B16" s="104" t="s">
        <v>37</v>
      </c>
      <c r="C16" s="104">
        <v>9.0</v>
      </c>
      <c r="D16" s="104">
        <v>23.0</v>
      </c>
      <c r="E16" s="104">
        <v>18.0</v>
      </c>
      <c r="F16" s="84">
        <f t="shared" si="5"/>
        <v>41</v>
      </c>
      <c r="G16" s="84">
        <f t="shared" si="6"/>
        <v>0.5609756098</v>
      </c>
      <c r="H16" s="104">
        <v>14.0</v>
      </c>
      <c r="I16" s="104">
        <v>10.0</v>
      </c>
      <c r="J16" s="104">
        <v>0.0</v>
      </c>
      <c r="K16" s="104">
        <v>5.0</v>
      </c>
      <c r="L16" s="104">
        <v>1.0</v>
      </c>
      <c r="M16" s="104">
        <v>2.0</v>
      </c>
      <c r="N16" s="104">
        <v>27.0</v>
      </c>
      <c r="O16" s="104">
        <v>32.0</v>
      </c>
      <c r="P16" s="104">
        <v>16.0</v>
      </c>
      <c r="Q16" s="104">
        <v>6.0</v>
      </c>
      <c r="R16" s="104">
        <v>0.0</v>
      </c>
      <c r="S16" s="104">
        <v>9.0</v>
      </c>
      <c r="T16" s="104">
        <v>3.0</v>
      </c>
      <c r="U16" s="104">
        <v>1.0</v>
      </c>
      <c r="V16" s="104">
        <v>1.0</v>
      </c>
      <c r="W16" s="188">
        <v>6.0</v>
      </c>
      <c r="X16" s="188">
        <v>6.0</v>
      </c>
      <c r="Y16" s="188">
        <v>13.0</v>
      </c>
      <c r="Z16" s="107">
        <v>0.0</v>
      </c>
      <c r="AA16" s="107">
        <v>0.0</v>
      </c>
      <c r="AB16" s="106">
        <f t="shared" ref="AB16:AC16" si="57">PRODUCT(T16,2)</f>
        <v>6</v>
      </c>
      <c r="AC16" s="106">
        <f t="shared" si="57"/>
        <v>2</v>
      </c>
      <c r="AD16" s="106">
        <f t="shared" ref="AD16:AE16" si="58">PRODUCT(V16,3)</f>
        <v>3</v>
      </c>
      <c r="AE16" s="106">
        <f t="shared" si="58"/>
        <v>18</v>
      </c>
      <c r="AF16" s="106">
        <f t="shared" ref="AF16:AG16" si="59">PRODUCT(X16,4)</f>
        <v>24</v>
      </c>
      <c r="AG16" s="106">
        <f t="shared" si="59"/>
        <v>52</v>
      </c>
      <c r="AH16" s="107">
        <f t="shared" si="10"/>
        <v>0</v>
      </c>
      <c r="AI16" s="107">
        <f t="shared" si="11"/>
        <v>0</v>
      </c>
      <c r="AJ16" s="104">
        <f t="shared" ref="AJ16:AK16" si="60">SUM(AB16,AD16,AF16,AH16)</f>
        <v>33</v>
      </c>
      <c r="AK16" s="104">
        <f t="shared" si="60"/>
        <v>72</v>
      </c>
      <c r="AL16" s="107">
        <v>91.0</v>
      </c>
    </row>
    <row r="17">
      <c r="A17" s="109" t="s">
        <v>19</v>
      </c>
      <c r="B17" s="109" t="s">
        <v>37</v>
      </c>
      <c r="C17" s="109">
        <v>10.0</v>
      </c>
      <c r="D17" s="109">
        <v>10.0</v>
      </c>
      <c r="E17" s="109">
        <v>5.0</v>
      </c>
      <c r="F17" s="110">
        <f t="shared" si="5"/>
        <v>15</v>
      </c>
      <c r="G17" s="110">
        <f t="shared" si="6"/>
        <v>0.6666666667</v>
      </c>
      <c r="H17" s="109">
        <v>7.0</v>
      </c>
      <c r="I17" s="109">
        <v>5.0</v>
      </c>
      <c r="J17" s="109">
        <v>0.0</v>
      </c>
      <c r="K17" s="109">
        <v>0.0</v>
      </c>
      <c r="L17" s="109">
        <v>0.0</v>
      </c>
      <c r="M17" s="109">
        <v>0.0</v>
      </c>
      <c r="N17" s="109">
        <v>8.0</v>
      </c>
      <c r="O17" s="109">
        <v>6.0</v>
      </c>
      <c r="P17" s="109">
        <v>1.0</v>
      </c>
      <c r="Q17" s="109">
        <v>1.0</v>
      </c>
      <c r="R17" s="109">
        <v>1.0</v>
      </c>
      <c r="S17" s="109">
        <v>1.0</v>
      </c>
      <c r="T17" s="109">
        <v>1.0</v>
      </c>
      <c r="U17" s="109">
        <v>0.0</v>
      </c>
      <c r="V17" s="109">
        <v>0.0</v>
      </c>
      <c r="W17" s="187">
        <v>1.0</v>
      </c>
      <c r="X17" s="187">
        <v>1.0</v>
      </c>
      <c r="Y17" s="187">
        <v>1.0</v>
      </c>
      <c r="Z17" s="113">
        <v>0.0</v>
      </c>
      <c r="AA17" s="113">
        <v>0.0</v>
      </c>
      <c r="AB17" s="112">
        <f t="shared" ref="AB17:AC17" si="61">PRODUCT(T17,2)</f>
        <v>2</v>
      </c>
      <c r="AC17" s="112">
        <f t="shared" si="61"/>
        <v>0</v>
      </c>
      <c r="AD17" s="112">
        <f t="shared" ref="AD17:AE17" si="62">PRODUCT(V17,3)</f>
        <v>0</v>
      </c>
      <c r="AE17" s="112">
        <f t="shared" si="62"/>
        <v>3</v>
      </c>
      <c r="AF17" s="112">
        <f t="shared" ref="AF17:AG17" si="63">PRODUCT(X17,4)</f>
        <v>4</v>
      </c>
      <c r="AG17" s="112">
        <f t="shared" si="63"/>
        <v>4</v>
      </c>
      <c r="AH17" s="113">
        <f t="shared" si="10"/>
        <v>0</v>
      </c>
      <c r="AI17" s="113">
        <f t="shared" si="11"/>
        <v>0</v>
      </c>
      <c r="AJ17" s="109">
        <f t="shared" ref="AJ17:AK17" si="64">SUM(AB17,AD17,AF17,AH17)</f>
        <v>6</v>
      </c>
      <c r="AK17" s="109">
        <f t="shared" si="64"/>
        <v>7</v>
      </c>
      <c r="AL17" s="113">
        <v>42.0</v>
      </c>
    </row>
    <row r="18">
      <c r="A18" s="104" t="s">
        <v>136</v>
      </c>
      <c r="B18" s="104" t="s">
        <v>37</v>
      </c>
      <c r="C18" s="104">
        <v>9.0</v>
      </c>
      <c r="D18" s="104">
        <v>2.0</v>
      </c>
      <c r="E18" s="104">
        <v>16.0</v>
      </c>
      <c r="F18" s="84">
        <f t="shared" si="5"/>
        <v>18</v>
      </c>
      <c r="G18" s="84">
        <f t="shared" si="6"/>
        <v>0.1111111111</v>
      </c>
      <c r="H18" s="104">
        <v>2.0</v>
      </c>
      <c r="I18" s="104">
        <v>16.0</v>
      </c>
      <c r="J18" s="104">
        <v>0.0</v>
      </c>
      <c r="K18" s="104">
        <v>0.0</v>
      </c>
      <c r="L18" s="104">
        <v>0.0</v>
      </c>
      <c r="M18" s="104">
        <v>0.0</v>
      </c>
      <c r="N18" s="104">
        <v>3.0</v>
      </c>
      <c r="O18" s="104">
        <v>23.0</v>
      </c>
      <c r="P18" s="104">
        <v>5.0</v>
      </c>
      <c r="Q18" s="104">
        <v>3.0</v>
      </c>
      <c r="R18" s="104">
        <v>2.0</v>
      </c>
      <c r="S18" s="104">
        <v>4.0</v>
      </c>
      <c r="T18" s="104">
        <v>0.0</v>
      </c>
      <c r="U18" s="104">
        <v>2.0</v>
      </c>
      <c r="V18" s="104">
        <v>0.0</v>
      </c>
      <c r="W18" s="188">
        <v>3.0</v>
      </c>
      <c r="X18" s="188">
        <v>0.0</v>
      </c>
      <c r="Y18" s="188">
        <v>5.0</v>
      </c>
      <c r="Z18" s="107">
        <v>0.0</v>
      </c>
      <c r="AA18" s="107">
        <v>0.0</v>
      </c>
      <c r="AB18" s="106">
        <f t="shared" ref="AB18:AC18" si="65">PRODUCT(T18,2)</f>
        <v>0</v>
      </c>
      <c r="AC18" s="106">
        <f t="shared" si="65"/>
        <v>4</v>
      </c>
      <c r="AD18" s="106">
        <f t="shared" ref="AD18:AE18" si="66">PRODUCT(V18,3)</f>
        <v>0</v>
      </c>
      <c r="AE18" s="106">
        <f t="shared" si="66"/>
        <v>9</v>
      </c>
      <c r="AF18" s="106">
        <f t="shared" ref="AF18:AG18" si="67">PRODUCT(X18,4)</f>
        <v>0</v>
      </c>
      <c r="AG18" s="106">
        <f t="shared" si="67"/>
        <v>20</v>
      </c>
      <c r="AH18" s="107">
        <f t="shared" si="10"/>
        <v>0</v>
      </c>
      <c r="AI18" s="107">
        <f t="shared" si="11"/>
        <v>0</v>
      </c>
      <c r="AJ18" s="104">
        <f t="shared" ref="AJ18:AK18" si="68">SUM(AB18,AD18,AF18,AH18)</f>
        <v>0</v>
      </c>
      <c r="AK18" s="104">
        <f t="shared" si="68"/>
        <v>33</v>
      </c>
      <c r="AL18" s="107">
        <v>12.0</v>
      </c>
    </row>
    <row r="19">
      <c r="A19" s="109" t="s">
        <v>29</v>
      </c>
      <c r="B19" s="109" t="s">
        <v>37</v>
      </c>
      <c r="C19" s="109">
        <v>12.0</v>
      </c>
      <c r="D19" s="109">
        <v>40.0</v>
      </c>
      <c r="E19" s="109">
        <v>15.0</v>
      </c>
      <c r="F19" s="110">
        <f t="shared" si="5"/>
        <v>55</v>
      </c>
      <c r="G19" s="110">
        <f t="shared" si="6"/>
        <v>0.7272727273</v>
      </c>
      <c r="H19" s="109">
        <v>25.0</v>
      </c>
      <c r="I19" s="109">
        <v>7.0</v>
      </c>
      <c r="J19" s="109">
        <v>1.0</v>
      </c>
      <c r="K19" s="109">
        <v>0.0</v>
      </c>
      <c r="L19" s="109">
        <v>4.0</v>
      </c>
      <c r="M19" s="109">
        <v>2.0</v>
      </c>
      <c r="N19" s="109">
        <v>69.0</v>
      </c>
      <c r="O19" s="109">
        <v>26.0</v>
      </c>
      <c r="P19" s="109">
        <v>15.0</v>
      </c>
      <c r="Q19" s="109">
        <v>16.0</v>
      </c>
      <c r="R19" s="109">
        <v>8.0</v>
      </c>
      <c r="S19" s="109">
        <v>16.0</v>
      </c>
      <c r="T19" s="109">
        <v>1.0</v>
      </c>
      <c r="U19" s="109">
        <v>6.0</v>
      </c>
      <c r="V19" s="109">
        <v>6.0</v>
      </c>
      <c r="W19" s="187">
        <v>0.0</v>
      </c>
      <c r="X19" s="187">
        <v>9.0</v>
      </c>
      <c r="Y19" s="187">
        <v>2.0</v>
      </c>
      <c r="Z19" s="113">
        <v>0.0</v>
      </c>
      <c r="AA19" s="113">
        <v>0.0</v>
      </c>
      <c r="AB19" s="112">
        <f t="shared" ref="AB19:AC19" si="69">PRODUCT(T19,2)</f>
        <v>2</v>
      </c>
      <c r="AC19" s="112">
        <f t="shared" si="69"/>
        <v>12</v>
      </c>
      <c r="AD19" s="112">
        <f t="shared" ref="AD19:AE19" si="70">PRODUCT(V19,3)</f>
        <v>18</v>
      </c>
      <c r="AE19" s="112">
        <f t="shared" si="70"/>
        <v>0</v>
      </c>
      <c r="AF19" s="112">
        <f t="shared" ref="AF19:AG19" si="71">PRODUCT(X19,4)</f>
        <v>36</v>
      </c>
      <c r="AG19" s="112">
        <f t="shared" si="71"/>
        <v>8</v>
      </c>
      <c r="AH19" s="113">
        <f t="shared" si="10"/>
        <v>0</v>
      </c>
      <c r="AI19" s="113">
        <f t="shared" si="11"/>
        <v>0</v>
      </c>
      <c r="AJ19" s="109">
        <f t="shared" ref="AJ19:AK19" si="72">SUM(AB19,AD19,AF19,AH19)</f>
        <v>56</v>
      </c>
      <c r="AK19" s="109">
        <f t="shared" si="72"/>
        <v>20</v>
      </c>
      <c r="AL19" s="113">
        <v>183.0</v>
      </c>
    </row>
    <row r="20">
      <c r="A20" s="104" t="s">
        <v>137</v>
      </c>
      <c r="B20" s="104" t="s">
        <v>37</v>
      </c>
      <c r="C20" s="104">
        <v>9.0</v>
      </c>
      <c r="D20" s="104">
        <v>4.0</v>
      </c>
      <c r="E20" s="104">
        <v>4.0</v>
      </c>
      <c r="F20" s="84">
        <f t="shared" si="5"/>
        <v>8</v>
      </c>
      <c r="G20" s="84">
        <f t="shared" si="6"/>
        <v>0.5</v>
      </c>
      <c r="H20" s="104">
        <v>3.0</v>
      </c>
      <c r="I20" s="104">
        <v>4.0</v>
      </c>
      <c r="J20" s="104">
        <v>0.0</v>
      </c>
      <c r="K20" s="104">
        <v>0.0</v>
      </c>
      <c r="L20" s="104">
        <v>0.0</v>
      </c>
      <c r="M20" s="104">
        <v>0.0</v>
      </c>
      <c r="N20" s="104">
        <v>7.0</v>
      </c>
      <c r="O20" s="104">
        <v>6.0</v>
      </c>
      <c r="P20" s="104">
        <v>2.0</v>
      </c>
      <c r="Q20" s="104">
        <v>4.0</v>
      </c>
      <c r="R20" s="104">
        <v>0.0</v>
      </c>
      <c r="S20" s="104">
        <v>0.0</v>
      </c>
      <c r="T20" s="104">
        <v>1.0</v>
      </c>
      <c r="U20" s="104">
        <v>1.0</v>
      </c>
      <c r="V20" s="104">
        <v>0.0</v>
      </c>
      <c r="W20" s="188">
        <v>0.0</v>
      </c>
      <c r="X20" s="188">
        <v>0.0</v>
      </c>
      <c r="Y20" s="188">
        <v>2.0</v>
      </c>
      <c r="Z20" s="107">
        <v>0.0</v>
      </c>
      <c r="AA20" s="107">
        <v>0.0</v>
      </c>
      <c r="AB20" s="106">
        <f t="shared" ref="AB20:AC20" si="73">PRODUCT(T20,2)</f>
        <v>2</v>
      </c>
      <c r="AC20" s="106">
        <f t="shared" si="73"/>
        <v>2</v>
      </c>
      <c r="AD20" s="106">
        <f t="shared" ref="AD20:AE20" si="74">PRODUCT(V20,3)</f>
        <v>0</v>
      </c>
      <c r="AE20" s="106">
        <f t="shared" si="74"/>
        <v>0</v>
      </c>
      <c r="AF20" s="106">
        <f t="shared" ref="AF20:AG20" si="75">PRODUCT(X20,4)</f>
        <v>0</v>
      </c>
      <c r="AG20" s="106">
        <f t="shared" si="75"/>
        <v>8</v>
      </c>
      <c r="AH20" s="107">
        <f t="shared" si="10"/>
        <v>0</v>
      </c>
      <c r="AI20" s="107">
        <f t="shared" si="11"/>
        <v>0</v>
      </c>
      <c r="AJ20" s="104">
        <f t="shared" ref="AJ20:AK20" si="76">SUM(AB20,AD20,AF20,AH20)</f>
        <v>2</v>
      </c>
      <c r="AK20" s="104">
        <f t="shared" si="76"/>
        <v>10</v>
      </c>
      <c r="AL20" s="107">
        <v>18.0</v>
      </c>
    </row>
    <row r="21">
      <c r="A21" s="109" t="s">
        <v>13</v>
      </c>
      <c r="B21" s="109" t="s">
        <v>37</v>
      </c>
      <c r="C21" s="109">
        <v>10.0</v>
      </c>
      <c r="D21" s="109">
        <v>29.0</v>
      </c>
      <c r="E21" s="109">
        <v>14.0</v>
      </c>
      <c r="F21" s="110">
        <f t="shared" si="5"/>
        <v>43</v>
      </c>
      <c r="G21" s="110">
        <f t="shared" si="6"/>
        <v>0.6744186047</v>
      </c>
      <c r="H21" s="109">
        <v>19.0</v>
      </c>
      <c r="I21" s="109">
        <v>11.0</v>
      </c>
      <c r="J21" s="109">
        <v>0.0</v>
      </c>
      <c r="K21" s="109">
        <v>1.0</v>
      </c>
      <c r="L21" s="109">
        <v>1.0</v>
      </c>
      <c r="M21" s="109">
        <v>1.0</v>
      </c>
      <c r="N21" s="109">
        <v>24.0</v>
      </c>
      <c r="O21" s="109">
        <v>19.0</v>
      </c>
      <c r="P21" s="109">
        <v>5.0</v>
      </c>
      <c r="Q21" s="109">
        <v>1.0</v>
      </c>
      <c r="R21" s="109">
        <v>4.0</v>
      </c>
      <c r="S21" s="109">
        <v>6.0</v>
      </c>
      <c r="T21" s="109">
        <v>5.0</v>
      </c>
      <c r="U21" s="109">
        <v>0.0</v>
      </c>
      <c r="V21" s="109">
        <v>2.0</v>
      </c>
      <c r="W21" s="187">
        <v>1.0</v>
      </c>
      <c r="X21" s="187">
        <v>10.0</v>
      </c>
      <c r="Y21" s="187">
        <v>5.0</v>
      </c>
      <c r="Z21" s="113">
        <v>0.0</v>
      </c>
      <c r="AA21" s="113">
        <v>0.0</v>
      </c>
      <c r="AB21" s="112">
        <f t="shared" ref="AB21:AC21" si="77">PRODUCT(T21,2)</f>
        <v>10</v>
      </c>
      <c r="AC21" s="112">
        <f t="shared" si="77"/>
        <v>0</v>
      </c>
      <c r="AD21" s="112">
        <f t="shared" ref="AD21:AE21" si="78">PRODUCT(V21,3)</f>
        <v>6</v>
      </c>
      <c r="AE21" s="112">
        <f t="shared" si="78"/>
        <v>3</v>
      </c>
      <c r="AF21" s="112">
        <f t="shared" ref="AF21:AG21" si="79">PRODUCT(X21,4)</f>
        <v>40</v>
      </c>
      <c r="AG21" s="112">
        <f t="shared" si="79"/>
        <v>20</v>
      </c>
      <c r="AH21" s="113">
        <f t="shared" si="10"/>
        <v>0</v>
      </c>
      <c r="AI21" s="113">
        <f t="shared" si="11"/>
        <v>0</v>
      </c>
      <c r="AJ21" s="109">
        <f t="shared" ref="AJ21:AK21" si="80">SUM(AB21,AD21,AF21,AH21)</f>
        <v>56</v>
      </c>
      <c r="AK21" s="109">
        <f t="shared" si="80"/>
        <v>23</v>
      </c>
      <c r="AL21" s="113">
        <v>118.0</v>
      </c>
    </row>
    <row r="22">
      <c r="A22" s="104" t="s">
        <v>17</v>
      </c>
      <c r="B22" s="104" t="s">
        <v>37</v>
      </c>
      <c r="C22" s="104">
        <v>12.0</v>
      </c>
      <c r="D22" s="104">
        <v>25.0</v>
      </c>
      <c r="E22" s="104">
        <v>7.0</v>
      </c>
      <c r="F22" s="84">
        <f t="shared" si="5"/>
        <v>32</v>
      </c>
      <c r="G22" s="84">
        <f t="shared" si="6"/>
        <v>0.78125</v>
      </c>
      <c r="H22" s="104">
        <v>19.0</v>
      </c>
      <c r="I22" s="104">
        <v>5.0</v>
      </c>
      <c r="J22" s="104">
        <v>0.0</v>
      </c>
      <c r="K22" s="104">
        <v>0.0</v>
      </c>
      <c r="L22" s="104">
        <v>0.0</v>
      </c>
      <c r="M22" s="104">
        <v>0.0</v>
      </c>
      <c r="N22" s="104">
        <v>34.0</v>
      </c>
      <c r="O22" s="104">
        <v>7.0</v>
      </c>
      <c r="P22" s="104">
        <v>4.0</v>
      </c>
      <c r="Q22" s="104">
        <v>12.0</v>
      </c>
      <c r="R22" s="104">
        <v>2.0</v>
      </c>
      <c r="S22" s="104">
        <v>1.0</v>
      </c>
      <c r="T22" s="104">
        <v>0.0</v>
      </c>
      <c r="U22" s="104">
        <v>0.0</v>
      </c>
      <c r="V22" s="104">
        <v>0.0</v>
      </c>
      <c r="W22" s="188">
        <v>0.0</v>
      </c>
      <c r="X22" s="188">
        <v>2.0</v>
      </c>
      <c r="Y22" s="188">
        <v>0.0</v>
      </c>
      <c r="Z22" s="107">
        <v>0.0</v>
      </c>
      <c r="AA22" s="107">
        <v>0.0</v>
      </c>
      <c r="AB22" s="106">
        <f t="shared" ref="AB22:AC22" si="81">PRODUCT(T22,2)</f>
        <v>0</v>
      </c>
      <c r="AC22" s="106">
        <f t="shared" si="81"/>
        <v>0</v>
      </c>
      <c r="AD22" s="106">
        <f t="shared" ref="AD22:AE22" si="82">PRODUCT(V22,3)</f>
        <v>0</v>
      </c>
      <c r="AE22" s="106">
        <f t="shared" si="82"/>
        <v>0</v>
      </c>
      <c r="AF22" s="106">
        <f t="shared" ref="AF22:AG22" si="83">PRODUCT(X22,4)</f>
        <v>8</v>
      </c>
      <c r="AG22" s="106">
        <f t="shared" si="83"/>
        <v>0</v>
      </c>
      <c r="AH22" s="107">
        <f t="shared" si="10"/>
        <v>0</v>
      </c>
      <c r="AI22" s="107">
        <f t="shared" si="11"/>
        <v>0</v>
      </c>
      <c r="AJ22" s="104">
        <f t="shared" ref="AJ22:AK22" si="84">SUM(AB22,AD22,AF22,AH22)</f>
        <v>8</v>
      </c>
      <c r="AK22" s="104">
        <f t="shared" si="84"/>
        <v>0</v>
      </c>
      <c r="AL22" s="107">
        <v>123.0</v>
      </c>
    </row>
    <row r="23">
      <c r="A23" s="64" t="s">
        <v>152</v>
      </c>
      <c r="B23" s="32"/>
      <c r="C23" s="60"/>
      <c r="D23" s="65">
        <f t="shared" ref="D23:F23" si="85">SUM(D3:D22)</f>
        <v>398</v>
      </c>
      <c r="E23" s="65">
        <f t="shared" si="85"/>
        <v>224</v>
      </c>
      <c r="F23" s="189">
        <f t="shared" si="85"/>
        <v>622</v>
      </c>
      <c r="G23" s="189">
        <f>PRODUCT(D23,(1/F23))</f>
        <v>0.6398713826</v>
      </c>
      <c r="H23" s="65">
        <f t="shared" ref="H23:AL23" si="86">SUM(H3:H22)</f>
        <v>272</v>
      </c>
      <c r="I23" s="65">
        <f t="shared" si="86"/>
        <v>165</v>
      </c>
      <c r="J23" s="65">
        <f t="shared" si="86"/>
        <v>8</v>
      </c>
      <c r="K23" s="65">
        <f t="shared" si="86"/>
        <v>20</v>
      </c>
      <c r="L23" s="65">
        <f t="shared" si="86"/>
        <v>7</v>
      </c>
      <c r="M23" s="65">
        <f t="shared" si="86"/>
        <v>19</v>
      </c>
      <c r="N23" s="65">
        <f t="shared" si="86"/>
        <v>493</v>
      </c>
      <c r="O23" s="65">
        <f t="shared" si="86"/>
        <v>364</v>
      </c>
      <c r="P23" s="65">
        <f t="shared" si="86"/>
        <v>142</v>
      </c>
      <c r="Q23" s="65">
        <f t="shared" si="86"/>
        <v>169</v>
      </c>
      <c r="R23" s="65">
        <f t="shared" si="86"/>
        <v>54</v>
      </c>
      <c r="S23" s="65">
        <f t="shared" si="86"/>
        <v>103</v>
      </c>
      <c r="T23" s="65">
        <f t="shared" si="86"/>
        <v>25</v>
      </c>
      <c r="U23" s="65">
        <f t="shared" si="86"/>
        <v>28</v>
      </c>
      <c r="V23" s="65">
        <f t="shared" si="86"/>
        <v>18</v>
      </c>
      <c r="W23" s="65">
        <f t="shared" si="86"/>
        <v>31</v>
      </c>
      <c r="X23" s="65">
        <f t="shared" si="86"/>
        <v>78</v>
      </c>
      <c r="Y23" s="65">
        <f t="shared" si="86"/>
        <v>97</v>
      </c>
      <c r="Z23" s="65">
        <f t="shared" si="86"/>
        <v>0</v>
      </c>
      <c r="AA23" s="65">
        <f t="shared" si="86"/>
        <v>1</v>
      </c>
      <c r="AB23" s="65">
        <f t="shared" si="86"/>
        <v>50</v>
      </c>
      <c r="AC23" s="65">
        <f t="shared" si="86"/>
        <v>56</v>
      </c>
      <c r="AD23" s="65">
        <f t="shared" si="86"/>
        <v>54</v>
      </c>
      <c r="AE23" s="65">
        <f t="shared" si="86"/>
        <v>93</v>
      </c>
      <c r="AF23" s="65">
        <f t="shared" si="86"/>
        <v>312</v>
      </c>
      <c r="AG23" s="65">
        <f t="shared" si="86"/>
        <v>388</v>
      </c>
      <c r="AH23" s="65">
        <f t="shared" si="86"/>
        <v>0</v>
      </c>
      <c r="AI23" s="65">
        <f t="shared" si="86"/>
        <v>5</v>
      </c>
      <c r="AJ23" s="65">
        <f t="shared" si="86"/>
        <v>416</v>
      </c>
      <c r="AK23" s="65">
        <f t="shared" si="86"/>
        <v>542</v>
      </c>
      <c r="AL23" s="65">
        <f t="shared" si="86"/>
        <v>1757</v>
      </c>
    </row>
  </sheetData>
  <mergeCells count="17">
    <mergeCell ref="D2:E2"/>
    <mergeCell ref="H2:I2"/>
    <mergeCell ref="J2:K2"/>
    <mergeCell ref="L2:M2"/>
    <mergeCell ref="N2:O2"/>
    <mergeCell ref="P2:Q2"/>
    <mergeCell ref="R2:S2"/>
    <mergeCell ref="A23:C23"/>
    <mergeCell ref="AH2:AI2"/>
    <mergeCell ref="AJ2:AK2"/>
    <mergeCell ref="T2:U2"/>
    <mergeCell ref="V2:W2"/>
    <mergeCell ref="X2:Y2"/>
    <mergeCell ref="Z2:AA2"/>
    <mergeCell ref="AB2:AC2"/>
    <mergeCell ref="AD2:AE2"/>
    <mergeCell ref="AF2:A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5.5"/>
    <col customWidth="1" min="3" max="3" width="4.5"/>
    <col customWidth="1" min="4" max="4" width="3.5"/>
    <col customWidth="1" hidden="1" min="5" max="5" width="5.75"/>
    <col customWidth="1" min="6" max="6" width="5.75"/>
    <col customWidth="1" min="7" max="7" width="4.25"/>
    <col customWidth="1" min="8" max="8" width="4.13"/>
    <col customWidth="1" min="9" max="24" width="4.5"/>
    <col customWidth="1" hidden="1" min="25" max="30" width="5.75"/>
    <col customWidth="1" min="31" max="31" width="7.25"/>
    <col customWidth="1" min="32" max="32" width="8.13"/>
    <col customWidth="1" min="33" max="33" width="9.75"/>
  </cols>
  <sheetData>
    <row r="1">
      <c r="A1" s="190" t="s">
        <v>216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91"/>
    </row>
    <row r="2">
      <c r="A2" s="192" t="s">
        <v>2</v>
      </c>
      <c r="B2" s="193" t="s">
        <v>62</v>
      </c>
      <c r="C2" s="194" t="s">
        <v>34</v>
      </c>
      <c r="D2" s="195"/>
      <c r="E2" s="193"/>
      <c r="F2" s="193" t="s">
        <v>41</v>
      </c>
      <c r="G2" s="194" t="s">
        <v>48</v>
      </c>
      <c r="H2" s="195"/>
      <c r="I2" s="196" t="s">
        <v>49</v>
      </c>
      <c r="J2" s="195"/>
      <c r="K2" s="197" t="s">
        <v>63</v>
      </c>
      <c r="L2" s="195"/>
      <c r="M2" s="194" t="s">
        <v>46</v>
      </c>
      <c r="N2" s="195"/>
      <c r="O2" s="194" t="s">
        <v>64</v>
      </c>
      <c r="P2" s="195"/>
      <c r="Q2" s="194" t="s">
        <v>65</v>
      </c>
      <c r="R2" s="195"/>
      <c r="S2" s="194" t="s">
        <v>66</v>
      </c>
      <c r="T2" s="195"/>
      <c r="U2" s="194" t="s">
        <v>217</v>
      </c>
      <c r="V2" s="195"/>
      <c r="W2" s="196" t="s">
        <v>68</v>
      </c>
      <c r="X2" s="195"/>
      <c r="Y2" s="193"/>
      <c r="Z2" s="193"/>
      <c r="AA2" s="193"/>
      <c r="AB2" s="193"/>
      <c r="AC2" s="193"/>
      <c r="AD2" s="193"/>
      <c r="AE2" s="196" t="s">
        <v>74</v>
      </c>
      <c r="AF2" s="195"/>
      <c r="AG2" s="193" t="s">
        <v>52</v>
      </c>
    </row>
    <row r="3">
      <c r="A3" s="198" t="s">
        <v>89</v>
      </c>
      <c r="B3" s="199">
        <v>10.0</v>
      </c>
      <c r="C3" s="51">
        <v>1.0</v>
      </c>
      <c r="D3" s="51">
        <v>3.0</v>
      </c>
      <c r="E3" s="199">
        <f t="shared" ref="E3:E26" si="5">SUM(C3:D3)</f>
        <v>4</v>
      </c>
      <c r="F3" s="200">
        <f t="shared" ref="F3:F27" si="6">PRODUCT(C3, (1/E3))</f>
        <v>0.25</v>
      </c>
      <c r="G3" s="51">
        <v>1.0</v>
      </c>
      <c r="H3" s="51">
        <v>3.0</v>
      </c>
      <c r="I3" s="51">
        <v>0.0</v>
      </c>
      <c r="J3" s="51">
        <v>0.0</v>
      </c>
      <c r="K3" s="51">
        <v>1.0</v>
      </c>
      <c r="L3" s="51">
        <v>3.0</v>
      </c>
      <c r="M3" s="51">
        <v>0.0</v>
      </c>
      <c r="N3" s="51">
        <v>6.0</v>
      </c>
      <c r="O3" s="51">
        <v>1.0</v>
      </c>
      <c r="P3" s="51">
        <v>0.0</v>
      </c>
      <c r="Q3" s="51">
        <v>2.0</v>
      </c>
      <c r="R3" s="51">
        <v>1.0</v>
      </c>
      <c r="S3" s="51">
        <v>0.0</v>
      </c>
      <c r="T3" s="51">
        <v>0.0</v>
      </c>
      <c r="U3" s="51">
        <v>0.0</v>
      </c>
      <c r="V3" s="51">
        <v>0.0</v>
      </c>
      <c r="W3" s="51">
        <v>1.0</v>
      </c>
      <c r="X3" s="51">
        <v>0.0</v>
      </c>
      <c r="Y3" s="199">
        <f t="shared" ref="Y3:Z3" si="1">PRODUCT(S3,2)</f>
        <v>0</v>
      </c>
      <c r="Z3" s="199">
        <f t="shared" si="1"/>
        <v>0</v>
      </c>
      <c r="AA3" s="199">
        <f t="shared" ref="AA3:AB3" si="2">PRODUCT(U3,3)</f>
        <v>0</v>
      </c>
      <c r="AB3" s="199">
        <f t="shared" si="2"/>
        <v>0</v>
      </c>
      <c r="AC3" s="199">
        <f t="shared" ref="AC3:AD3" si="3">PRODUCT(W3,4)</f>
        <v>4</v>
      </c>
      <c r="AD3" s="199">
        <f t="shared" si="3"/>
        <v>0</v>
      </c>
      <c r="AE3" s="199">
        <f t="shared" ref="AE3:AF3" si="4">SUM(Y3,AA3,AC3)</f>
        <v>4</v>
      </c>
      <c r="AF3" s="199">
        <f t="shared" si="4"/>
        <v>0</v>
      </c>
      <c r="AG3" s="51">
        <v>9.0</v>
      </c>
    </row>
    <row r="4">
      <c r="A4" s="198" t="s">
        <v>99</v>
      </c>
      <c r="B4" s="199">
        <v>9.0</v>
      </c>
      <c r="C4" s="51">
        <v>3.0</v>
      </c>
      <c r="D4" s="51">
        <v>3.0</v>
      </c>
      <c r="E4" s="199">
        <f t="shared" si="5"/>
        <v>6</v>
      </c>
      <c r="F4" s="200">
        <f t="shared" si="6"/>
        <v>0.5</v>
      </c>
      <c r="G4" s="51">
        <v>3.0</v>
      </c>
      <c r="H4" s="51">
        <v>2.0</v>
      </c>
      <c r="I4" s="51">
        <v>0.0</v>
      </c>
      <c r="J4" s="51">
        <v>0.0</v>
      </c>
      <c r="K4" s="51">
        <v>0.0</v>
      </c>
      <c r="L4" s="51">
        <v>0.0</v>
      </c>
      <c r="M4" s="51">
        <v>3.0</v>
      </c>
      <c r="N4" s="51">
        <v>9.0</v>
      </c>
      <c r="O4" s="51">
        <v>4.0</v>
      </c>
      <c r="P4" s="51">
        <v>2.0</v>
      </c>
      <c r="Q4" s="51">
        <v>3.0</v>
      </c>
      <c r="R4" s="51">
        <v>3.0</v>
      </c>
      <c r="S4" s="51">
        <v>1.0</v>
      </c>
      <c r="T4" s="51">
        <v>0.0</v>
      </c>
      <c r="U4" s="51">
        <v>1.0</v>
      </c>
      <c r="V4" s="51">
        <v>1.0</v>
      </c>
      <c r="W4" s="51">
        <v>1.0</v>
      </c>
      <c r="X4" s="51">
        <v>4.0</v>
      </c>
      <c r="Y4" s="199">
        <f t="shared" ref="Y4:Z4" si="7">PRODUCT(S4,2)</f>
        <v>2</v>
      </c>
      <c r="Z4" s="199">
        <f t="shared" si="7"/>
        <v>0</v>
      </c>
      <c r="AA4" s="199">
        <f t="shared" ref="AA4:AB4" si="8">PRODUCT(U4,3)</f>
        <v>3</v>
      </c>
      <c r="AB4" s="199">
        <f t="shared" si="8"/>
        <v>3</v>
      </c>
      <c r="AC4" s="199">
        <f t="shared" ref="AC4:AD4" si="9">PRODUCT(W4,4)</f>
        <v>4</v>
      </c>
      <c r="AD4" s="199">
        <f t="shared" si="9"/>
        <v>16</v>
      </c>
      <c r="AE4" s="199">
        <f t="shared" ref="AE4:AF4" si="10">SUM(Y4,AA4,AC4)</f>
        <v>9</v>
      </c>
      <c r="AF4" s="199">
        <f t="shared" si="10"/>
        <v>19</v>
      </c>
      <c r="AG4" s="51">
        <v>14.0</v>
      </c>
    </row>
    <row r="5">
      <c r="A5" s="198" t="s">
        <v>8</v>
      </c>
      <c r="B5" s="199">
        <v>12.0</v>
      </c>
      <c r="C5" s="51">
        <v>6.0</v>
      </c>
      <c r="D5" s="51">
        <v>4.0</v>
      </c>
      <c r="E5" s="199">
        <f t="shared" si="5"/>
        <v>10</v>
      </c>
      <c r="F5" s="200">
        <f t="shared" si="6"/>
        <v>0.6</v>
      </c>
      <c r="G5" s="51">
        <v>3.0</v>
      </c>
      <c r="H5" s="51">
        <v>2.0</v>
      </c>
      <c r="I5" s="51">
        <v>0.0</v>
      </c>
      <c r="J5" s="51">
        <v>0.0</v>
      </c>
      <c r="K5" s="51">
        <v>0.0</v>
      </c>
      <c r="L5" s="51">
        <v>5.0</v>
      </c>
      <c r="M5" s="51">
        <v>7.0</v>
      </c>
      <c r="N5" s="51">
        <v>9.0</v>
      </c>
      <c r="O5" s="51">
        <v>6.0</v>
      </c>
      <c r="P5" s="51">
        <v>3.0</v>
      </c>
      <c r="Q5" s="51">
        <v>0.0</v>
      </c>
      <c r="R5" s="51">
        <v>1.0</v>
      </c>
      <c r="S5" s="51">
        <v>0.0</v>
      </c>
      <c r="T5" s="51">
        <v>1.0</v>
      </c>
      <c r="U5" s="51">
        <v>0.0</v>
      </c>
      <c r="V5" s="51">
        <v>0.0</v>
      </c>
      <c r="W5" s="51">
        <v>0.0</v>
      </c>
      <c r="X5" s="51">
        <v>0.0</v>
      </c>
      <c r="Y5" s="199">
        <f t="shared" ref="Y5:Z5" si="11">PRODUCT(S5,2)</f>
        <v>0</v>
      </c>
      <c r="Z5" s="199">
        <f t="shared" si="11"/>
        <v>2</v>
      </c>
      <c r="AA5" s="199">
        <f t="shared" ref="AA5:AB5" si="12">PRODUCT(U5,3)</f>
        <v>0</v>
      </c>
      <c r="AB5" s="199">
        <f t="shared" si="12"/>
        <v>0</v>
      </c>
      <c r="AC5" s="199">
        <f t="shared" ref="AC5:AD5" si="13">PRODUCT(W5,4)</f>
        <v>0</v>
      </c>
      <c r="AD5" s="199">
        <f t="shared" si="13"/>
        <v>0</v>
      </c>
      <c r="AE5" s="199">
        <f t="shared" ref="AE5:AF5" si="14">SUM(Y5,AA5,AC5)</f>
        <v>0</v>
      </c>
      <c r="AF5" s="199">
        <f t="shared" si="14"/>
        <v>2</v>
      </c>
      <c r="AG5" s="51">
        <v>35.0</v>
      </c>
    </row>
    <row r="6">
      <c r="A6" s="198" t="s">
        <v>9</v>
      </c>
      <c r="B6" s="199">
        <v>12.0</v>
      </c>
      <c r="C6" s="51">
        <v>8.0</v>
      </c>
      <c r="D6" s="51">
        <v>3.0</v>
      </c>
      <c r="E6" s="199">
        <f t="shared" si="5"/>
        <v>11</v>
      </c>
      <c r="F6" s="200">
        <f t="shared" si="6"/>
        <v>0.7272727273</v>
      </c>
      <c r="G6" s="51">
        <v>8.0</v>
      </c>
      <c r="H6" s="51">
        <v>2.0</v>
      </c>
      <c r="I6" s="51">
        <v>0.0</v>
      </c>
      <c r="J6" s="51">
        <v>0.0</v>
      </c>
      <c r="K6" s="51">
        <v>0.0</v>
      </c>
      <c r="L6" s="51">
        <v>0.0</v>
      </c>
      <c r="M6" s="51">
        <v>8.0</v>
      </c>
      <c r="N6" s="51">
        <v>7.0</v>
      </c>
      <c r="O6" s="51">
        <v>4.0</v>
      </c>
      <c r="P6" s="51">
        <v>1.0</v>
      </c>
      <c r="Q6" s="51">
        <v>1.0</v>
      </c>
      <c r="R6" s="51">
        <v>1.0</v>
      </c>
      <c r="S6" s="51">
        <v>0.0</v>
      </c>
      <c r="T6" s="51">
        <v>0.0</v>
      </c>
      <c r="U6" s="51">
        <v>0.0</v>
      </c>
      <c r="V6" s="51">
        <v>0.0</v>
      </c>
      <c r="W6" s="51">
        <v>0.0</v>
      </c>
      <c r="X6" s="51">
        <v>0.0</v>
      </c>
      <c r="Y6" s="199">
        <f t="shared" ref="Y6:Z6" si="15">PRODUCT(S6,2)</f>
        <v>0</v>
      </c>
      <c r="Z6" s="199">
        <f t="shared" si="15"/>
        <v>0</v>
      </c>
      <c r="AA6" s="199">
        <f t="shared" ref="AA6:AB6" si="16">PRODUCT(U6,3)</f>
        <v>0</v>
      </c>
      <c r="AB6" s="199">
        <f t="shared" si="16"/>
        <v>0</v>
      </c>
      <c r="AC6" s="199">
        <f t="shared" ref="AC6:AD6" si="17">PRODUCT(W6,4)</f>
        <v>0</v>
      </c>
      <c r="AD6" s="199">
        <f t="shared" si="17"/>
        <v>0</v>
      </c>
      <c r="AE6" s="199">
        <f t="shared" ref="AE6:AF6" si="18">SUM(Y6,AA6,AC6)</f>
        <v>0</v>
      </c>
      <c r="AF6" s="199">
        <f t="shared" si="18"/>
        <v>0</v>
      </c>
      <c r="AG6" s="51">
        <v>46.0</v>
      </c>
    </row>
    <row r="7">
      <c r="A7" s="198" t="s">
        <v>19</v>
      </c>
      <c r="B7" s="199">
        <v>9.0</v>
      </c>
      <c r="C7" s="51">
        <v>4.0</v>
      </c>
      <c r="D7" s="51">
        <v>7.0</v>
      </c>
      <c r="E7" s="199">
        <f t="shared" si="5"/>
        <v>11</v>
      </c>
      <c r="F7" s="200">
        <f t="shared" si="6"/>
        <v>0.3636363636</v>
      </c>
      <c r="G7" s="51">
        <v>3.0</v>
      </c>
      <c r="H7" s="51">
        <v>7.0</v>
      </c>
      <c r="I7" s="51">
        <v>0.0</v>
      </c>
      <c r="J7" s="51">
        <v>0.0</v>
      </c>
      <c r="K7" s="51">
        <v>0.0</v>
      </c>
      <c r="L7" s="51">
        <v>0.0</v>
      </c>
      <c r="M7" s="51">
        <v>1.0</v>
      </c>
      <c r="N7" s="51">
        <v>12.0</v>
      </c>
      <c r="O7" s="51">
        <v>2.0</v>
      </c>
      <c r="P7" s="51">
        <v>1.0</v>
      </c>
      <c r="Q7" s="51">
        <v>2.0</v>
      </c>
      <c r="R7" s="51">
        <v>1.0</v>
      </c>
      <c r="S7" s="51">
        <v>0.0</v>
      </c>
      <c r="T7" s="51">
        <v>1.0</v>
      </c>
      <c r="U7" s="51">
        <v>0.0</v>
      </c>
      <c r="V7" s="51">
        <v>1.0</v>
      </c>
      <c r="W7" s="51">
        <v>1.0</v>
      </c>
      <c r="X7" s="51">
        <v>1.0</v>
      </c>
      <c r="Y7" s="199">
        <f t="shared" ref="Y7:Z7" si="19">PRODUCT(S7,2)</f>
        <v>0</v>
      </c>
      <c r="Z7" s="199">
        <f t="shared" si="19"/>
        <v>2</v>
      </c>
      <c r="AA7" s="199">
        <f t="shared" ref="AA7:AB7" si="20">PRODUCT(U7,3)</f>
        <v>0</v>
      </c>
      <c r="AB7" s="199">
        <f t="shared" si="20"/>
        <v>3</v>
      </c>
      <c r="AC7" s="199">
        <f t="shared" ref="AC7:AD7" si="21">PRODUCT(W7,4)</f>
        <v>4</v>
      </c>
      <c r="AD7" s="199">
        <f t="shared" si="21"/>
        <v>4</v>
      </c>
      <c r="AE7" s="199">
        <f t="shared" ref="AE7:AF7" si="22">SUM(Y7,AA7,AC7)</f>
        <v>4</v>
      </c>
      <c r="AF7" s="199">
        <f t="shared" si="22"/>
        <v>9</v>
      </c>
      <c r="AG7" s="51">
        <v>26.0</v>
      </c>
    </row>
    <row r="8">
      <c r="A8" s="198" t="s">
        <v>84</v>
      </c>
      <c r="B8" s="199">
        <v>10.0</v>
      </c>
      <c r="C8" s="51">
        <v>7.0</v>
      </c>
      <c r="D8" s="51">
        <v>8.0</v>
      </c>
      <c r="E8" s="199">
        <f t="shared" si="5"/>
        <v>15</v>
      </c>
      <c r="F8" s="200">
        <f t="shared" si="6"/>
        <v>0.4666666667</v>
      </c>
      <c r="G8" s="51">
        <v>6.0</v>
      </c>
      <c r="H8" s="51">
        <v>6.0</v>
      </c>
      <c r="I8" s="51">
        <v>0.0</v>
      </c>
      <c r="J8" s="51">
        <v>0.0</v>
      </c>
      <c r="K8" s="51">
        <v>0.0</v>
      </c>
      <c r="L8" s="51">
        <v>2.0</v>
      </c>
      <c r="M8" s="51">
        <v>6.0</v>
      </c>
      <c r="N8" s="51">
        <v>9.0</v>
      </c>
      <c r="O8" s="51">
        <v>1.0</v>
      </c>
      <c r="P8" s="51">
        <v>2.0</v>
      </c>
      <c r="Q8" s="51">
        <v>2.0</v>
      </c>
      <c r="R8" s="51">
        <v>4.0</v>
      </c>
      <c r="S8" s="51">
        <v>0.0</v>
      </c>
      <c r="T8" s="51">
        <v>0.0</v>
      </c>
      <c r="U8" s="51">
        <v>0.0</v>
      </c>
      <c r="V8" s="51">
        <v>0.0</v>
      </c>
      <c r="W8" s="51">
        <v>0.0</v>
      </c>
      <c r="X8" s="51">
        <v>3.0</v>
      </c>
      <c r="Y8" s="199">
        <f t="shared" ref="Y8:Z8" si="23">PRODUCT(S8,2)</f>
        <v>0</v>
      </c>
      <c r="Z8" s="199">
        <f t="shared" si="23"/>
        <v>0</v>
      </c>
      <c r="AA8" s="199">
        <f t="shared" ref="AA8:AB8" si="24">PRODUCT(U8,3)</f>
        <v>0</v>
      </c>
      <c r="AB8" s="199">
        <f t="shared" si="24"/>
        <v>0</v>
      </c>
      <c r="AC8" s="199">
        <f t="shared" ref="AC8:AD8" si="25">PRODUCT(W8,4)</f>
        <v>0</v>
      </c>
      <c r="AD8" s="199">
        <f t="shared" si="25"/>
        <v>12</v>
      </c>
      <c r="AE8" s="199">
        <f t="shared" ref="AE8:AF8" si="26">SUM(Y8,AA8,AC8)</f>
        <v>0</v>
      </c>
      <c r="AF8" s="199">
        <f t="shared" si="26"/>
        <v>12</v>
      </c>
      <c r="AG8" s="51">
        <v>43.0</v>
      </c>
    </row>
    <row r="9">
      <c r="A9" s="198" t="s">
        <v>98</v>
      </c>
      <c r="B9" s="199">
        <v>9.0</v>
      </c>
      <c r="C9" s="51">
        <v>3.0</v>
      </c>
      <c r="D9" s="51">
        <v>12.0</v>
      </c>
      <c r="E9" s="199">
        <f t="shared" si="5"/>
        <v>15</v>
      </c>
      <c r="F9" s="200">
        <f t="shared" si="6"/>
        <v>0.2</v>
      </c>
      <c r="G9" s="51">
        <v>2.0</v>
      </c>
      <c r="H9" s="51">
        <v>12.0</v>
      </c>
      <c r="I9" s="51">
        <v>0.0</v>
      </c>
      <c r="J9" s="51">
        <v>0.0</v>
      </c>
      <c r="K9" s="51">
        <v>0.0</v>
      </c>
      <c r="L9" s="51">
        <v>0.0</v>
      </c>
      <c r="M9" s="51">
        <v>5.0</v>
      </c>
      <c r="N9" s="51">
        <v>23.0</v>
      </c>
      <c r="O9" s="51">
        <v>8.0</v>
      </c>
      <c r="P9" s="51">
        <v>6.0</v>
      </c>
      <c r="Q9" s="51">
        <v>1.0</v>
      </c>
      <c r="R9" s="51">
        <v>4.0</v>
      </c>
      <c r="S9" s="51">
        <v>0.0</v>
      </c>
      <c r="T9" s="51">
        <v>0.0</v>
      </c>
      <c r="U9" s="51">
        <v>2.0</v>
      </c>
      <c r="V9" s="51">
        <v>2.0</v>
      </c>
      <c r="W9" s="51">
        <v>0.0</v>
      </c>
      <c r="X9" s="51">
        <v>5.0</v>
      </c>
      <c r="Y9" s="199">
        <f t="shared" ref="Y9:Z9" si="27">PRODUCT(S9,2)</f>
        <v>0</v>
      </c>
      <c r="Z9" s="199">
        <f t="shared" si="27"/>
        <v>0</v>
      </c>
      <c r="AA9" s="199">
        <f t="shared" ref="AA9:AB9" si="28">PRODUCT(U9,3)</f>
        <v>6</v>
      </c>
      <c r="AB9" s="199">
        <f t="shared" si="28"/>
        <v>6</v>
      </c>
      <c r="AC9" s="199">
        <f t="shared" ref="AC9:AD9" si="29">PRODUCT(W9,4)</f>
        <v>0</v>
      </c>
      <c r="AD9" s="199">
        <f t="shared" si="29"/>
        <v>20</v>
      </c>
      <c r="AE9" s="199">
        <f t="shared" ref="AE9:AF9" si="30">SUM(Y9,AA9,AC9)</f>
        <v>6</v>
      </c>
      <c r="AF9" s="199">
        <f t="shared" si="30"/>
        <v>26</v>
      </c>
      <c r="AG9" s="51">
        <v>12.0</v>
      </c>
    </row>
    <row r="10">
      <c r="A10" s="198" t="s">
        <v>82</v>
      </c>
      <c r="B10" s="199">
        <v>12.0</v>
      </c>
      <c r="C10" s="51">
        <v>7.0</v>
      </c>
      <c r="D10" s="51">
        <v>10.0</v>
      </c>
      <c r="E10" s="199">
        <f t="shared" si="5"/>
        <v>17</v>
      </c>
      <c r="F10" s="200">
        <f t="shared" si="6"/>
        <v>0.4117647059</v>
      </c>
      <c r="G10" s="51">
        <v>1.0</v>
      </c>
      <c r="H10" s="51">
        <v>8.0</v>
      </c>
      <c r="I10" s="51">
        <v>0.0</v>
      </c>
      <c r="J10" s="51">
        <v>0.0</v>
      </c>
      <c r="K10" s="51">
        <v>0.0</v>
      </c>
      <c r="L10" s="51">
        <v>0.0</v>
      </c>
      <c r="M10" s="51">
        <v>3.0</v>
      </c>
      <c r="N10" s="51">
        <v>5.0</v>
      </c>
      <c r="O10" s="51">
        <v>0.0</v>
      </c>
      <c r="P10" s="51">
        <v>1.0</v>
      </c>
      <c r="Q10" s="51">
        <v>0.0</v>
      </c>
      <c r="R10" s="51">
        <v>3.0</v>
      </c>
      <c r="S10" s="51">
        <v>0.0</v>
      </c>
      <c r="T10" s="51">
        <v>0.0</v>
      </c>
      <c r="U10" s="51">
        <v>0.0</v>
      </c>
      <c r="V10" s="51">
        <v>0.0</v>
      </c>
      <c r="W10" s="51">
        <v>0.0</v>
      </c>
      <c r="X10" s="51">
        <v>1.0</v>
      </c>
      <c r="Y10" s="199">
        <f t="shared" ref="Y10:Z10" si="31">PRODUCT(S10,2)</f>
        <v>0</v>
      </c>
      <c r="Z10" s="199">
        <f t="shared" si="31"/>
        <v>0</v>
      </c>
      <c r="AA10" s="199">
        <f t="shared" ref="AA10:AB10" si="32">PRODUCT(U10,3)</f>
        <v>0</v>
      </c>
      <c r="AB10" s="199">
        <f t="shared" si="32"/>
        <v>0</v>
      </c>
      <c r="AC10" s="199">
        <f t="shared" ref="AC10:AD10" si="33">PRODUCT(W10,4)</f>
        <v>0</v>
      </c>
      <c r="AD10" s="199">
        <f t="shared" si="33"/>
        <v>4</v>
      </c>
      <c r="AE10" s="199">
        <f t="shared" ref="AE10:AF10" si="34">SUM(Y10,AA10,AC10)</f>
        <v>0</v>
      </c>
      <c r="AF10" s="199">
        <f t="shared" si="34"/>
        <v>4</v>
      </c>
      <c r="AG10" s="51">
        <v>31.0</v>
      </c>
    </row>
    <row r="11">
      <c r="A11" s="198" t="s">
        <v>10</v>
      </c>
      <c r="B11" s="199">
        <v>9.0</v>
      </c>
      <c r="C11" s="51">
        <v>9.0</v>
      </c>
      <c r="D11" s="51">
        <v>8.0</v>
      </c>
      <c r="E11" s="199">
        <f t="shared" si="5"/>
        <v>17</v>
      </c>
      <c r="F11" s="200">
        <f t="shared" si="6"/>
        <v>0.5294117647</v>
      </c>
      <c r="G11" s="51">
        <v>3.0</v>
      </c>
      <c r="H11" s="51">
        <v>8.0</v>
      </c>
      <c r="I11" s="51">
        <v>0.0</v>
      </c>
      <c r="J11" s="51">
        <v>0.0</v>
      </c>
      <c r="K11" s="51">
        <v>2.0</v>
      </c>
      <c r="L11" s="51">
        <v>1.0</v>
      </c>
      <c r="M11" s="51">
        <v>11.0</v>
      </c>
      <c r="N11" s="51">
        <v>8.0</v>
      </c>
      <c r="O11" s="51">
        <v>1.0</v>
      </c>
      <c r="P11" s="51">
        <v>6.0</v>
      </c>
      <c r="Q11" s="51">
        <v>3.0</v>
      </c>
      <c r="R11" s="51">
        <v>6.0</v>
      </c>
      <c r="S11" s="51">
        <v>2.0</v>
      </c>
      <c r="T11" s="51">
        <v>0.0</v>
      </c>
      <c r="U11" s="51">
        <v>0.0</v>
      </c>
      <c r="V11" s="51">
        <v>1.0</v>
      </c>
      <c r="W11" s="51">
        <v>2.0</v>
      </c>
      <c r="X11" s="51">
        <v>2.0</v>
      </c>
      <c r="Y11" s="199">
        <f t="shared" ref="Y11:Z11" si="35">PRODUCT(S11,2)</f>
        <v>4</v>
      </c>
      <c r="Z11" s="199">
        <f t="shared" si="35"/>
        <v>0</v>
      </c>
      <c r="AA11" s="199">
        <f t="shared" ref="AA11:AB11" si="36">PRODUCT(U11,3)</f>
        <v>0</v>
      </c>
      <c r="AB11" s="199">
        <f t="shared" si="36"/>
        <v>3</v>
      </c>
      <c r="AC11" s="199">
        <f t="shared" ref="AC11:AD11" si="37">PRODUCT(W11,4)</f>
        <v>8</v>
      </c>
      <c r="AD11" s="199">
        <f t="shared" si="37"/>
        <v>8</v>
      </c>
      <c r="AE11" s="199">
        <f t="shared" ref="AE11:AF11" si="38">SUM(Y11,AA11,AC11)</f>
        <v>12</v>
      </c>
      <c r="AF11" s="199">
        <f t="shared" si="38"/>
        <v>11</v>
      </c>
      <c r="AG11" s="51">
        <v>42.0</v>
      </c>
    </row>
    <row r="12">
      <c r="A12" s="198" t="s">
        <v>147</v>
      </c>
      <c r="B12" s="199">
        <v>9.0</v>
      </c>
      <c r="C12" s="51">
        <v>4.0</v>
      </c>
      <c r="D12" s="51">
        <v>17.0</v>
      </c>
      <c r="E12" s="199">
        <f t="shared" si="5"/>
        <v>21</v>
      </c>
      <c r="F12" s="200">
        <f t="shared" si="6"/>
        <v>0.1904761905</v>
      </c>
      <c r="G12" s="51">
        <v>2.0</v>
      </c>
      <c r="H12" s="51">
        <v>14.0</v>
      </c>
      <c r="I12" s="51">
        <v>0.0</v>
      </c>
      <c r="J12" s="51">
        <v>0.0</v>
      </c>
      <c r="K12" s="51">
        <v>0.0</v>
      </c>
      <c r="L12" s="51">
        <v>2.0</v>
      </c>
      <c r="M12" s="51">
        <v>3.0</v>
      </c>
      <c r="N12" s="51">
        <v>30.0</v>
      </c>
      <c r="O12" s="51">
        <v>9.0</v>
      </c>
      <c r="P12" s="51">
        <v>10.0</v>
      </c>
      <c r="Q12" s="51">
        <v>2.0</v>
      </c>
      <c r="R12" s="51">
        <v>2.0</v>
      </c>
      <c r="S12" s="51">
        <v>0.0</v>
      </c>
      <c r="T12" s="51">
        <v>4.0</v>
      </c>
      <c r="U12" s="51">
        <v>0.0</v>
      </c>
      <c r="V12" s="51">
        <v>1.0</v>
      </c>
      <c r="W12" s="51">
        <v>1.0</v>
      </c>
      <c r="X12" s="51">
        <v>4.0</v>
      </c>
      <c r="Y12" s="199">
        <f t="shared" ref="Y12:Z12" si="39">PRODUCT(S12,2)</f>
        <v>0</v>
      </c>
      <c r="Z12" s="199">
        <f t="shared" si="39"/>
        <v>8</v>
      </c>
      <c r="AA12" s="199">
        <f t="shared" ref="AA12:AB12" si="40">PRODUCT(U12,3)</f>
        <v>0</v>
      </c>
      <c r="AB12" s="199">
        <f t="shared" si="40"/>
        <v>3</v>
      </c>
      <c r="AC12" s="199">
        <f t="shared" ref="AC12:AD12" si="41">PRODUCT(W12,4)</f>
        <v>4</v>
      </c>
      <c r="AD12" s="199">
        <f t="shared" si="41"/>
        <v>16</v>
      </c>
      <c r="AE12" s="199">
        <f t="shared" ref="AE12:AF12" si="42">SUM(Y12,AA12,AC12)</f>
        <v>4</v>
      </c>
      <c r="AF12" s="199">
        <f t="shared" si="42"/>
        <v>27</v>
      </c>
      <c r="AG12" s="51">
        <v>11.0</v>
      </c>
    </row>
    <row r="13">
      <c r="A13" s="198" t="s">
        <v>24</v>
      </c>
      <c r="B13" s="199">
        <v>10.0</v>
      </c>
      <c r="C13" s="51">
        <v>13.0</v>
      </c>
      <c r="D13" s="51">
        <v>9.0</v>
      </c>
      <c r="E13" s="199">
        <f t="shared" si="5"/>
        <v>22</v>
      </c>
      <c r="F13" s="200">
        <f t="shared" si="6"/>
        <v>0.5909090909</v>
      </c>
      <c r="G13" s="51">
        <v>10.0</v>
      </c>
      <c r="H13" s="51">
        <v>7.0</v>
      </c>
      <c r="I13" s="51">
        <v>0.0</v>
      </c>
      <c r="J13" s="51">
        <v>2.0</v>
      </c>
      <c r="K13" s="51">
        <v>0.0</v>
      </c>
      <c r="L13" s="51">
        <v>0.0</v>
      </c>
      <c r="M13" s="51">
        <v>19.0</v>
      </c>
      <c r="N13" s="51">
        <v>22.0</v>
      </c>
      <c r="O13" s="51">
        <v>7.0</v>
      </c>
      <c r="P13" s="51">
        <v>12.0</v>
      </c>
      <c r="Q13" s="51">
        <v>7.0</v>
      </c>
      <c r="R13" s="51">
        <v>6.0</v>
      </c>
      <c r="S13" s="51">
        <v>2.0</v>
      </c>
      <c r="T13" s="51">
        <v>2.0</v>
      </c>
      <c r="U13" s="51">
        <v>2.0</v>
      </c>
      <c r="V13" s="51">
        <v>1.0</v>
      </c>
      <c r="W13" s="51">
        <v>5.0</v>
      </c>
      <c r="X13" s="51">
        <v>5.0</v>
      </c>
      <c r="Y13" s="199">
        <f t="shared" ref="Y13:Z13" si="43">PRODUCT(S13,2)</f>
        <v>4</v>
      </c>
      <c r="Z13" s="199">
        <f t="shared" si="43"/>
        <v>4</v>
      </c>
      <c r="AA13" s="199">
        <f t="shared" ref="AA13:AB13" si="44">PRODUCT(U13,3)</f>
        <v>6</v>
      </c>
      <c r="AB13" s="199">
        <f t="shared" si="44"/>
        <v>3</v>
      </c>
      <c r="AC13" s="199">
        <f t="shared" ref="AC13:AD13" si="45">PRODUCT(W13,4)</f>
        <v>20</v>
      </c>
      <c r="AD13" s="199">
        <f t="shared" si="45"/>
        <v>20</v>
      </c>
      <c r="AE13" s="199">
        <f t="shared" ref="AE13:AF13" si="46">SUM(Y13,AA13,AC13)</f>
        <v>30</v>
      </c>
      <c r="AF13" s="199">
        <f t="shared" si="46"/>
        <v>27</v>
      </c>
      <c r="AG13" s="51">
        <v>70.0</v>
      </c>
    </row>
    <row r="14">
      <c r="A14" s="198" t="s">
        <v>30</v>
      </c>
      <c r="B14" s="199">
        <v>10.0</v>
      </c>
      <c r="C14" s="51">
        <v>14.0</v>
      </c>
      <c r="D14" s="51">
        <v>11.0</v>
      </c>
      <c r="E14" s="199">
        <f t="shared" si="5"/>
        <v>25</v>
      </c>
      <c r="F14" s="200">
        <f t="shared" si="6"/>
        <v>0.56</v>
      </c>
      <c r="G14" s="51">
        <v>13.0</v>
      </c>
      <c r="H14" s="51">
        <v>8.0</v>
      </c>
      <c r="I14" s="51">
        <v>0.0</v>
      </c>
      <c r="J14" s="51">
        <v>0.0</v>
      </c>
      <c r="K14" s="51">
        <v>1.0</v>
      </c>
      <c r="L14" s="51">
        <v>0.0</v>
      </c>
      <c r="M14" s="51">
        <v>22.0</v>
      </c>
      <c r="N14" s="51">
        <v>21.0</v>
      </c>
      <c r="O14" s="51">
        <v>14.0</v>
      </c>
      <c r="P14" s="51">
        <v>7.0</v>
      </c>
      <c r="Q14" s="51">
        <v>8.0</v>
      </c>
      <c r="R14" s="51">
        <v>10.0</v>
      </c>
      <c r="S14" s="51">
        <v>1.0</v>
      </c>
      <c r="T14" s="51">
        <v>0.0</v>
      </c>
      <c r="U14" s="51">
        <v>1.0</v>
      </c>
      <c r="V14" s="51">
        <v>1.0</v>
      </c>
      <c r="W14" s="51">
        <v>3.0</v>
      </c>
      <c r="X14" s="51">
        <v>3.0</v>
      </c>
      <c r="Y14" s="199">
        <f t="shared" ref="Y14:Z14" si="47">PRODUCT(S14,2)</f>
        <v>2</v>
      </c>
      <c r="Z14" s="199">
        <f t="shared" si="47"/>
        <v>0</v>
      </c>
      <c r="AA14" s="199">
        <f t="shared" ref="AA14:AB14" si="48">PRODUCT(U14,3)</f>
        <v>3</v>
      </c>
      <c r="AB14" s="199">
        <f t="shared" si="48"/>
        <v>3</v>
      </c>
      <c r="AC14" s="199">
        <f t="shared" ref="AC14:AD14" si="49">PRODUCT(W14,4)</f>
        <v>12</v>
      </c>
      <c r="AD14" s="199">
        <f t="shared" si="49"/>
        <v>12</v>
      </c>
      <c r="AE14" s="199">
        <f t="shared" ref="AE14:AF14" si="50">SUM(Y14,AA14,AC14)</f>
        <v>17</v>
      </c>
      <c r="AF14" s="199">
        <f t="shared" si="50"/>
        <v>15</v>
      </c>
      <c r="AG14" s="51">
        <v>74.0</v>
      </c>
    </row>
    <row r="15">
      <c r="A15" s="198" t="s">
        <v>6</v>
      </c>
      <c r="B15" s="199">
        <v>10.0</v>
      </c>
      <c r="C15" s="51">
        <v>22.0</v>
      </c>
      <c r="D15" s="51">
        <v>4.0</v>
      </c>
      <c r="E15" s="199">
        <f t="shared" si="5"/>
        <v>26</v>
      </c>
      <c r="F15" s="200">
        <f t="shared" si="6"/>
        <v>0.8461538462</v>
      </c>
      <c r="G15" s="51">
        <v>12.0</v>
      </c>
      <c r="H15" s="51">
        <v>0.0</v>
      </c>
      <c r="I15" s="51">
        <v>3.0</v>
      </c>
      <c r="J15" s="51">
        <v>1.0</v>
      </c>
      <c r="K15" s="51">
        <v>0.0</v>
      </c>
      <c r="L15" s="51">
        <v>2.0</v>
      </c>
      <c r="M15" s="51">
        <v>41.0</v>
      </c>
      <c r="N15" s="51">
        <v>11.0</v>
      </c>
      <c r="O15" s="51">
        <v>5.0</v>
      </c>
      <c r="P15" s="51">
        <v>27.0</v>
      </c>
      <c r="Q15" s="51">
        <v>4.0</v>
      </c>
      <c r="R15" s="51">
        <v>2.0</v>
      </c>
      <c r="S15" s="51">
        <v>2.0</v>
      </c>
      <c r="T15" s="51">
        <v>1.0</v>
      </c>
      <c r="U15" s="51">
        <v>0.0</v>
      </c>
      <c r="V15" s="51">
        <v>1.0</v>
      </c>
      <c r="W15" s="51">
        <v>7.0</v>
      </c>
      <c r="X15" s="51">
        <v>2.0</v>
      </c>
      <c r="Y15" s="199">
        <f t="shared" ref="Y15:Z15" si="51">PRODUCT(S15,2)</f>
        <v>4</v>
      </c>
      <c r="Z15" s="199">
        <f t="shared" si="51"/>
        <v>2</v>
      </c>
      <c r="AA15" s="199">
        <f t="shared" ref="AA15:AB15" si="52">PRODUCT(U15,3)</f>
        <v>0</v>
      </c>
      <c r="AB15" s="199">
        <f t="shared" si="52"/>
        <v>3</v>
      </c>
      <c r="AC15" s="199">
        <f t="shared" ref="AC15:AD15" si="53">PRODUCT(W15,4)</f>
        <v>28</v>
      </c>
      <c r="AD15" s="199">
        <f t="shared" si="53"/>
        <v>8</v>
      </c>
      <c r="AE15" s="199">
        <f t="shared" ref="AE15:AF15" si="54">SUM(Y15,AA15,AC15)</f>
        <v>32</v>
      </c>
      <c r="AF15" s="199">
        <f t="shared" si="54"/>
        <v>13</v>
      </c>
      <c r="AG15" s="51">
        <v>95.0</v>
      </c>
    </row>
    <row r="16">
      <c r="A16" s="198" t="s">
        <v>16</v>
      </c>
      <c r="B16" s="199">
        <v>12.0</v>
      </c>
      <c r="C16" s="51">
        <v>18.0</v>
      </c>
      <c r="D16" s="51">
        <v>10.0</v>
      </c>
      <c r="E16" s="199">
        <f t="shared" si="5"/>
        <v>28</v>
      </c>
      <c r="F16" s="200">
        <f t="shared" si="6"/>
        <v>0.6428571429</v>
      </c>
      <c r="G16" s="51">
        <v>15.0</v>
      </c>
      <c r="H16" s="51">
        <v>6.0</v>
      </c>
      <c r="I16" s="51">
        <v>0.0</v>
      </c>
      <c r="J16" s="51">
        <v>0.0</v>
      </c>
      <c r="K16" s="51">
        <v>1.0</v>
      </c>
      <c r="L16" s="51">
        <v>2.0</v>
      </c>
      <c r="M16" s="51">
        <v>19.0</v>
      </c>
      <c r="N16" s="51">
        <v>14.0</v>
      </c>
      <c r="O16" s="51">
        <v>9.0</v>
      </c>
      <c r="P16" s="51">
        <v>3.0</v>
      </c>
      <c r="Q16" s="51">
        <v>2.0</v>
      </c>
      <c r="R16" s="51">
        <v>9.0</v>
      </c>
      <c r="S16" s="51">
        <v>1.0</v>
      </c>
      <c r="T16" s="51">
        <v>2.0</v>
      </c>
      <c r="U16" s="51">
        <v>2.0</v>
      </c>
      <c r="V16" s="51">
        <v>1.0</v>
      </c>
      <c r="W16" s="51">
        <v>5.0</v>
      </c>
      <c r="X16" s="51">
        <v>2.0</v>
      </c>
      <c r="Y16" s="199">
        <f t="shared" ref="Y16:Z16" si="55">PRODUCT(S16,2)</f>
        <v>2</v>
      </c>
      <c r="Z16" s="199">
        <f t="shared" si="55"/>
        <v>4</v>
      </c>
      <c r="AA16" s="199">
        <f t="shared" ref="AA16:AB16" si="56">PRODUCT(U16,3)</f>
        <v>6</v>
      </c>
      <c r="AB16" s="199">
        <f t="shared" si="56"/>
        <v>3</v>
      </c>
      <c r="AC16" s="199">
        <f t="shared" ref="AC16:AD16" si="57">PRODUCT(W16,4)</f>
        <v>20</v>
      </c>
      <c r="AD16" s="199">
        <f t="shared" si="57"/>
        <v>8</v>
      </c>
      <c r="AE16" s="199">
        <f t="shared" ref="AE16:AF16" si="58">SUM(Y16,AA16,AC16)</f>
        <v>28</v>
      </c>
      <c r="AF16" s="199">
        <f t="shared" si="58"/>
        <v>15</v>
      </c>
      <c r="AG16" s="51">
        <v>100.0</v>
      </c>
    </row>
    <row r="17">
      <c r="A17" s="198" t="s">
        <v>11</v>
      </c>
      <c r="B17" s="199">
        <v>10.0</v>
      </c>
      <c r="C17" s="51">
        <v>12.0</v>
      </c>
      <c r="D17" s="51">
        <v>17.0</v>
      </c>
      <c r="E17" s="199">
        <f t="shared" si="5"/>
        <v>29</v>
      </c>
      <c r="F17" s="200">
        <f t="shared" si="6"/>
        <v>0.4137931034</v>
      </c>
      <c r="G17" s="51">
        <v>8.0</v>
      </c>
      <c r="H17" s="51">
        <v>16.0</v>
      </c>
      <c r="I17" s="51">
        <v>0.0</v>
      </c>
      <c r="J17" s="51">
        <v>0.0</v>
      </c>
      <c r="K17" s="51">
        <v>0.0</v>
      </c>
      <c r="L17" s="51">
        <v>0.0</v>
      </c>
      <c r="M17" s="51">
        <v>11.0</v>
      </c>
      <c r="N17" s="51">
        <v>26.0</v>
      </c>
      <c r="O17" s="51">
        <v>5.0</v>
      </c>
      <c r="P17" s="51">
        <v>7.0</v>
      </c>
      <c r="Q17" s="51">
        <v>5.0</v>
      </c>
      <c r="R17" s="51">
        <v>4.0</v>
      </c>
      <c r="S17" s="51">
        <v>1.0</v>
      </c>
      <c r="T17" s="51">
        <v>1.0</v>
      </c>
      <c r="U17" s="51">
        <v>0.0</v>
      </c>
      <c r="V17" s="51">
        <v>1.0</v>
      </c>
      <c r="W17" s="51">
        <v>0.0</v>
      </c>
      <c r="X17" s="51">
        <v>5.0</v>
      </c>
      <c r="Y17" s="199">
        <f t="shared" ref="Y17:Z17" si="59">PRODUCT(S17,2)</f>
        <v>2</v>
      </c>
      <c r="Z17" s="199">
        <f t="shared" si="59"/>
        <v>2</v>
      </c>
      <c r="AA17" s="199">
        <f t="shared" ref="AA17:AB17" si="60">PRODUCT(U17,3)</f>
        <v>0</v>
      </c>
      <c r="AB17" s="199">
        <f t="shared" si="60"/>
        <v>3</v>
      </c>
      <c r="AC17" s="199">
        <f t="shared" ref="AC17:AD17" si="61">PRODUCT(W17,4)</f>
        <v>0</v>
      </c>
      <c r="AD17" s="199">
        <f t="shared" si="61"/>
        <v>20</v>
      </c>
      <c r="AE17" s="199">
        <f t="shared" ref="AE17:AF17" si="62">SUM(Y17,AA17,AC17)</f>
        <v>2</v>
      </c>
      <c r="AF17" s="199">
        <f t="shared" si="62"/>
        <v>25</v>
      </c>
      <c r="AG17" s="51">
        <v>58.0</v>
      </c>
    </row>
    <row r="18">
      <c r="A18" s="198" t="s">
        <v>13</v>
      </c>
      <c r="B18" s="199">
        <v>9.0</v>
      </c>
      <c r="C18" s="51">
        <v>11.0</v>
      </c>
      <c r="D18" s="51">
        <v>19.0</v>
      </c>
      <c r="E18" s="199">
        <f t="shared" si="5"/>
        <v>30</v>
      </c>
      <c r="F18" s="200">
        <f t="shared" si="6"/>
        <v>0.3666666667</v>
      </c>
      <c r="G18" s="51">
        <v>6.0</v>
      </c>
      <c r="H18" s="51">
        <v>19.0</v>
      </c>
      <c r="I18" s="51">
        <v>0.0</v>
      </c>
      <c r="J18" s="51">
        <v>0.0</v>
      </c>
      <c r="K18" s="51">
        <v>0.0</v>
      </c>
      <c r="L18" s="51">
        <v>0.0</v>
      </c>
      <c r="M18" s="51">
        <v>6.0</v>
      </c>
      <c r="N18" s="51">
        <v>28.0</v>
      </c>
      <c r="O18" s="51">
        <v>3.0</v>
      </c>
      <c r="P18" s="51">
        <v>5.0</v>
      </c>
      <c r="Q18" s="51">
        <v>2.0</v>
      </c>
      <c r="R18" s="51">
        <v>2.0</v>
      </c>
      <c r="S18" s="51">
        <v>0.0</v>
      </c>
      <c r="T18" s="51">
        <v>0.0</v>
      </c>
      <c r="U18" s="51">
        <v>0.0</v>
      </c>
      <c r="V18" s="51">
        <v>0.0</v>
      </c>
      <c r="W18" s="51">
        <v>1.0</v>
      </c>
      <c r="X18" s="51">
        <v>5.0</v>
      </c>
      <c r="Y18" s="199">
        <f t="shared" ref="Y18:Z18" si="63">PRODUCT(S18,2)</f>
        <v>0</v>
      </c>
      <c r="Z18" s="199">
        <f t="shared" si="63"/>
        <v>0</v>
      </c>
      <c r="AA18" s="199">
        <f t="shared" ref="AA18:AB18" si="64">PRODUCT(U18,3)</f>
        <v>0</v>
      </c>
      <c r="AB18" s="199">
        <f t="shared" si="64"/>
        <v>0</v>
      </c>
      <c r="AC18" s="199">
        <f t="shared" ref="AC18:AD18" si="65">PRODUCT(W18,4)</f>
        <v>4</v>
      </c>
      <c r="AD18" s="199">
        <f t="shared" si="65"/>
        <v>20</v>
      </c>
      <c r="AE18" s="199">
        <f t="shared" ref="AE18:AF18" si="66">SUM(Y18,AA18,AC18)</f>
        <v>4</v>
      </c>
      <c r="AF18" s="199">
        <f t="shared" si="66"/>
        <v>20</v>
      </c>
      <c r="AG18" s="51">
        <v>45.0</v>
      </c>
    </row>
    <row r="19">
      <c r="A19" s="198" t="s">
        <v>17</v>
      </c>
      <c r="B19" s="199">
        <v>11.0</v>
      </c>
      <c r="C19" s="51">
        <v>24.0</v>
      </c>
      <c r="D19" s="51">
        <v>8.0</v>
      </c>
      <c r="E19" s="199">
        <f t="shared" si="5"/>
        <v>32</v>
      </c>
      <c r="F19" s="200">
        <f t="shared" si="6"/>
        <v>0.75</v>
      </c>
      <c r="G19" s="51">
        <v>16.0</v>
      </c>
      <c r="H19" s="51">
        <v>6.0</v>
      </c>
      <c r="I19" s="51">
        <v>0.0</v>
      </c>
      <c r="J19" s="51">
        <v>0.0</v>
      </c>
      <c r="K19" s="51">
        <v>0.0</v>
      </c>
      <c r="L19" s="51">
        <v>0.0</v>
      </c>
      <c r="M19" s="51">
        <v>19.0</v>
      </c>
      <c r="N19" s="51">
        <v>9.0</v>
      </c>
      <c r="O19" s="51">
        <v>4.0</v>
      </c>
      <c r="P19" s="51">
        <v>7.0</v>
      </c>
      <c r="Q19" s="51">
        <v>1.0</v>
      </c>
      <c r="R19" s="51">
        <v>2.0</v>
      </c>
      <c r="S19" s="51">
        <v>0.0</v>
      </c>
      <c r="T19" s="51">
        <v>0.0</v>
      </c>
      <c r="U19" s="51">
        <v>0.0</v>
      </c>
      <c r="V19" s="51">
        <v>0.0</v>
      </c>
      <c r="W19" s="51">
        <v>3.0</v>
      </c>
      <c r="X19" s="51">
        <v>1.0</v>
      </c>
      <c r="Y19" s="199">
        <f t="shared" ref="Y19:Z19" si="67">PRODUCT(S19,2)</f>
        <v>0</v>
      </c>
      <c r="Z19" s="199">
        <f t="shared" si="67"/>
        <v>0</v>
      </c>
      <c r="AA19" s="199">
        <f t="shared" ref="AA19:AB19" si="68">PRODUCT(U19,3)</f>
        <v>0</v>
      </c>
      <c r="AB19" s="199">
        <f t="shared" si="68"/>
        <v>0</v>
      </c>
      <c r="AC19" s="199">
        <f t="shared" ref="AC19:AD19" si="69">PRODUCT(W19,4)</f>
        <v>12</v>
      </c>
      <c r="AD19" s="199">
        <f t="shared" si="69"/>
        <v>4</v>
      </c>
      <c r="AE19" s="199">
        <f t="shared" ref="AE19:AF19" si="70">SUM(Y19,AA19,AC19)</f>
        <v>12</v>
      </c>
      <c r="AF19" s="199">
        <f t="shared" si="70"/>
        <v>4</v>
      </c>
      <c r="AG19" s="51">
        <v>117.0</v>
      </c>
    </row>
    <row r="20">
      <c r="A20" s="198" t="s">
        <v>135</v>
      </c>
      <c r="B20" s="199">
        <v>12.0</v>
      </c>
      <c r="C20" s="51">
        <v>12.0</v>
      </c>
      <c r="D20" s="51">
        <v>22.0</v>
      </c>
      <c r="E20" s="199">
        <f t="shared" si="5"/>
        <v>34</v>
      </c>
      <c r="F20" s="200">
        <f t="shared" si="6"/>
        <v>0.3529411765</v>
      </c>
      <c r="G20" s="51">
        <v>8.0</v>
      </c>
      <c r="H20" s="51">
        <v>18.0</v>
      </c>
      <c r="I20" s="51">
        <v>0.0</v>
      </c>
      <c r="J20" s="51">
        <v>1.0</v>
      </c>
      <c r="K20" s="51">
        <v>0.0</v>
      </c>
      <c r="L20" s="51">
        <v>1.0</v>
      </c>
      <c r="M20" s="51">
        <v>11.0</v>
      </c>
      <c r="N20" s="51">
        <v>27.0</v>
      </c>
      <c r="O20" s="51">
        <v>4.0</v>
      </c>
      <c r="P20" s="51">
        <v>13.0</v>
      </c>
      <c r="Q20" s="51">
        <v>6.0</v>
      </c>
      <c r="R20" s="51">
        <v>5.0</v>
      </c>
      <c r="S20" s="51">
        <v>0.0</v>
      </c>
      <c r="T20" s="51">
        <v>1.0</v>
      </c>
      <c r="U20" s="51">
        <v>0.0</v>
      </c>
      <c r="V20" s="51">
        <v>0.0</v>
      </c>
      <c r="W20" s="51">
        <v>2.0</v>
      </c>
      <c r="X20" s="51">
        <v>3.0</v>
      </c>
      <c r="Y20" s="199">
        <f t="shared" ref="Y20:Z20" si="71">PRODUCT(S20,2)</f>
        <v>0</v>
      </c>
      <c r="Z20" s="199">
        <f t="shared" si="71"/>
        <v>2</v>
      </c>
      <c r="AA20" s="199">
        <f t="shared" ref="AA20:AB20" si="72">PRODUCT(U20,3)</f>
        <v>0</v>
      </c>
      <c r="AB20" s="199">
        <f t="shared" si="72"/>
        <v>0</v>
      </c>
      <c r="AC20" s="199">
        <f t="shared" ref="AC20:AD20" si="73">PRODUCT(W20,4)</f>
        <v>8</v>
      </c>
      <c r="AD20" s="199">
        <f t="shared" si="73"/>
        <v>12</v>
      </c>
      <c r="AE20" s="199">
        <f t="shared" ref="AE20:AF20" si="74">SUM(Y20,AA20,AC20)</f>
        <v>8</v>
      </c>
      <c r="AF20" s="199">
        <f t="shared" si="74"/>
        <v>14</v>
      </c>
      <c r="AG20" s="51">
        <v>71.0</v>
      </c>
    </row>
    <row r="21">
      <c r="A21" s="198" t="s">
        <v>4</v>
      </c>
      <c r="B21" s="199">
        <v>10.0</v>
      </c>
      <c r="C21" s="51">
        <v>30.0</v>
      </c>
      <c r="D21" s="51">
        <v>6.0</v>
      </c>
      <c r="E21" s="199">
        <f t="shared" si="5"/>
        <v>36</v>
      </c>
      <c r="F21" s="200">
        <f t="shared" si="6"/>
        <v>0.8333333333</v>
      </c>
      <c r="G21" s="51">
        <v>18.0</v>
      </c>
      <c r="H21" s="51">
        <v>3.0</v>
      </c>
      <c r="I21" s="51">
        <v>1.0</v>
      </c>
      <c r="J21" s="51">
        <v>1.0</v>
      </c>
      <c r="K21" s="51">
        <v>0.0</v>
      </c>
      <c r="L21" s="51">
        <v>0.0</v>
      </c>
      <c r="M21" s="51">
        <v>33.0</v>
      </c>
      <c r="N21" s="51">
        <v>12.0</v>
      </c>
      <c r="O21" s="51">
        <v>4.0</v>
      </c>
      <c r="P21" s="51">
        <v>15.0</v>
      </c>
      <c r="Q21" s="51">
        <v>2.0</v>
      </c>
      <c r="R21" s="51">
        <v>2.0</v>
      </c>
      <c r="S21" s="51">
        <v>3.0</v>
      </c>
      <c r="T21" s="51">
        <v>0.0</v>
      </c>
      <c r="U21" s="51">
        <v>0.0</v>
      </c>
      <c r="V21" s="51">
        <v>1.0</v>
      </c>
      <c r="W21" s="51">
        <v>10.0</v>
      </c>
      <c r="X21" s="51">
        <v>8.0</v>
      </c>
      <c r="Y21" s="199">
        <f t="shared" ref="Y21:Z21" si="75">PRODUCT(S21,2)</f>
        <v>6</v>
      </c>
      <c r="Z21" s="199">
        <f t="shared" si="75"/>
        <v>0</v>
      </c>
      <c r="AA21" s="199">
        <f t="shared" ref="AA21:AB21" si="76">PRODUCT(U21,3)</f>
        <v>0</v>
      </c>
      <c r="AB21" s="199">
        <f t="shared" si="76"/>
        <v>3</v>
      </c>
      <c r="AC21" s="199">
        <f t="shared" ref="AC21:AD21" si="77">PRODUCT(W21,4)</f>
        <v>40</v>
      </c>
      <c r="AD21" s="199">
        <f t="shared" si="77"/>
        <v>32</v>
      </c>
      <c r="AE21" s="199">
        <f t="shared" ref="AE21:AF21" si="78">SUM(Y21,AA21,AC21)</f>
        <v>46</v>
      </c>
      <c r="AF21" s="199">
        <f t="shared" si="78"/>
        <v>35</v>
      </c>
      <c r="AG21" s="51">
        <v>134.5</v>
      </c>
    </row>
    <row r="22">
      <c r="A22" s="198" t="s">
        <v>110</v>
      </c>
      <c r="B22" s="199">
        <v>12.0</v>
      </c>
      <c r="C22" s="51">
        <v>18.0</v>
      </c>
      <c r="D22" s="51">
        <v>22.0</v>
      </c>
      <c r="E22" s="199">
        <f t="shared" si="5"/>
        <v>40</v>
      </c>
      <c r="F22" s="200">
        <f t="shared" si="6"/>
        <v>0.45</v>
      </c>
      <c r="G22" s="51">
        <v>13.0</v>
      </c>
      <c r="H22" s="51">
        <v>10.0</v>
      </c>
      <c r="I22" s="51">
        <v>0.0</v>
      </c>
      <c r="J22" s="51">
        <v>2.0</v>
      </c>
      <c r="K22" s="51">
        <v>0.0</v>
      </c>
      <c r="L22" s="51">
        <v>0.0</v>
      </c>
      <c r="M22" s="51">
        <v>22.0</v>
      </c>
      <c r="N22" s="51">
        <v>72.0</v>
      </c>
      <c r="O22" s="51">
        <v>58.0</v>
      </c>
      <c r="P22" s="51">
        <v>13.0</v>
      </c>
      <c r="Q22" s="51">
        <v>3.0</v>
      </c>
      <c r="R22" s="51">
        <v>8.0</v>
      </c>
      <c r="S22" s="51">
        <v>3.0</v>
      </c>
      <c r="T22" s="51">
        <v>1.0</v>
      </c>
      <c r="U22" s="51">
        <v>1.0</v>
      </c>
      <c r="V22" s="51">
        <v>1.0</v>
      </c>
      <c r="W22" s="51">
        <v>0.0</v>
      </c>
      <c r="X22" s="51">
        <v>6.0</v>
      </c>
      <c r="Y22" s="199">
        <f t="shared" ref="Y22:Z22" si="79">PRODUCT(S22,2)</f>
        <v>6</v>
      </c>
      <c r="Z22" s="199">
        <f t="shared" si="79"/>
        <v>2</v>
      </c>
      <c r="AA22" s="199">
        <f t="shared" ref="AA22:AB22" si="80">PRODUCT(U22,3)</f>
        <v>3</v>
      </c>
      <c r="AB22" s="199">
        <f t="shared" si="80"/>
        <v>3</v>
      </c>
      <c r="AC22" s="199">
        <f t="shared" ref="AC22:AD22" si="81">PRODUCT(W22,4)</f>
        <v>0</v>
      </c>
      <c r="AD22" s="199">
        <f t="shared" si="81"/>
        <v>24</v>
      </c>
      <c r="AE22" s="199">
        <f t="shared" ref="AE22:AF22" si="82">SUM(Y22,AA22,AC22)</f>
        <v>9</v>
      </c>
      <c r="AF22" s="199">
        <f t="shared" si="82"/>
        <v>29</v>
      </c>
      <c r="AG22" s="51">
        <v>69.0</v>
      </c>
    </row>
    <row r="23">
      <c r="A23" s="198" t="s">
        <v>29</v>
      </c>
      <c r="B23" s="199">
        <v>11.0</v>
      </c>
      <c r="C23" s="51">
        <v>23.0</v>
      </c>
      <c r="D23" s="51">
        <v>17.0</v>
      </c>
      <c r="E23" s="199">
        <f t="shared" si="5"/>
        <v>40</v>
      </c>
      <c r="F23" s="200">
        <f t="shared" si="6"/>
        <v>0.575</v>
      </c>
      <c r="G23" s="51">
        <v>13.0</v>
      </c>
      <c r="H23" s="51">
        <v>11.0</v>
      </c>
      <c r="I23" s="51">
        <v>0.0</v>
      </c>
      <c r="J23" s="51">
        <v>2.0</v>
      </c>
      <c r="K23" s="51">
        <v>0.0</v>
      </c>
      <c r="L23" s="51">
        <v>1.0</v>
      </c>
      <c r="M23" s="51">
        <v>26.0</v>
      </c>
      <c r="N23" s="51">
        <v>50.0</v>
      </c>
      <c r="O23" s="51">
        <v>19.0</v>
      </c>
      <c r="P23" s="51">
        <v>16.0</v>
      </c>
      <c r="Q23" s="51">
        <v>10.0</v>
      </c>
      <c r="R23" s="51">
        <v>10.0</v>
      </c>
      <c r="S23" s="51">
        <v>4.0</v>
      </c>
      <c r="T23" s="51">
        <v>2.0</v>
      </c>
      <c r="U23" s="51">
        <v>2.0</v>
      </c>
      <c r="V23" s="51">
        <v>4.0</v>
      </c>
      <c r="W23" s="51">
        <v>9.0</v>
      </c>
      <c r="X23" s="51">
        <v>4.0</v>
      </c>
      <c r="Y23" s="199">
        <f t="shared" ref="Y23:Z23" si="83">PRODUCT(S23,2)</f>
        <v>8</v>
      </c>
      <c r="Z23" s="199">
        <f t="shared" si="83"/>
        <v>4</v>
      </c>
      <c r="AA23" s="199">
        <f t="shared" ref="AA23:AB23" si="84">PRODUCT(U23,3)</f>
        <v>6</v>
      </c>
      <c r="AB23" s="199">
        <f t="shared" si="84"/>
        <v>12</v>
      </c>
      <c r="AC23" s="199">
        <f t="shared" ref="AC23:AD23" si="85">PRODUCT(W23,4)</f>
        <v>36</v>
      </c>
      <c r="AD23" s="199">
        <f t="shared" si="85"/>
        <v>16</v>
      </c>
      <c r="AE23" s="199">
        <f t="shared" ref="AE23:AF23" si="86">SUM(Y23,AA23,AC23)</f>
        <v>50</v>
      </c>
      <c r="AF23" s="199">
        <f t="shared" si="86"/>
        <v>32</v>
      </c>
      <c r="AG23" s="51">
        <v>91.0</v>
      </c>
    </row>
    <row r="24">
      <c r="A24" s="198" t="s">
        <v>7</v>
      </c>
      <c r="B24" s="199">
        <v>12.0</v>
      </c>
      <c r="C24" s="51">
        <v>32.0</v>
      </c>
      <c r="D24" s="51">
        <v>11.0</v>
      </c>
      <c r="E24" s="199">
        <f t="shared" si="5"/>
        <v>43</v>
      </c>
      <c r="F24" s="200">
        <f t="shared" si="6"/>
        <v>0.7441860465</v>
      </c>
      <c r="G24" s="51">
        <v>26.0</v>
      </c>
      <c r="H24" s="51">
        <v>3.0</v>
      </c>
      <c r="I24" s="51">
        <v>2.0</v>
      </c>
      <c r="J24" s="51">
        <v>4.0</v>
      </c>
      <c r="K24" s="51">
        <v>0.0</v>
      </c>
      <c r="L24" s="51">
        <v>0.0</v>
      </c>
      <c r="M24" s="51">
        <v>34.0</v>
      </c>
      <c r="N24" s="51">
        <v>32.0</v>
      </c>
      <c r="O24" s="51">
        <v>20.0</v>
      </c>
      <c r="P24" s="51">
        <v>10.0</v>
      </c>
      <c r="Q24" s="51">
        <v>2.0</v>
      </c>
      <c r="R24" s="51">
        <v>7.0</v>
      </c>
      <c r="S24" s="51">
        <v>3.0</v>
      </c>
      <c r="T24" s="51">
        <v>0.0</v>
      </c>
      <c r="U24" s="51">
        <v>0.0</v>
      </c>
      <c r="V24" s="51">
        <v>2.0</v>
      </c>
      <c r="W24" s="51">
        <v>10.0</v>
      </c>
      <c r="X24" s="51">
        <v>10.0</v>
      </c>
      <c r="Y24" s="199">
        <f t="shared" ref="Y24:Z24" si="87">PRODUCT(S24,2)</f>
        <v>6</v>
      </c>
      <c r="Z24" s="199">
        <f t="shared" si="87"/>
        <v>0</v>
      </c>
      <c r="AA24" s="199">
        <f t="shared" ref="AA24:AB24" si="88">PRODUCT(U24,3)</f>
        <v>0</v>
      </c>
      <c r="AB24" s="199">
        <f t="shared" si="88"/>
        <v>6</v>
      </c>
      <c r="AC24" s="199">
        <f t="shared" ref="AC24:AD24" si="89">PRODUCT(W24,4)</f>
        <v>40</v>
      </c>
      <c r="AD24" s="199">
        <f t="shared" si="89"/>
        <v>40</v>
      </c>
      <c r="AE24" s="199">
        <f t="shared" ref="AE24:AF24" si="90">SUM(Y24,AA24,AC24)</f>
        <v>46</v>
      </c>
      <c r="AF24" s="199">
        <f t="shared" si="90"/>
        <v>46</v>
      </c>
      <c r="AG24" s="51">
        <v>174.0</v>
      </c>
    </row>
    <row r="25">
      <c r="A25" s="198" t="s">
        <v>38</v>
      </c>
      <c r="B25" s="199">
        <v>12.0</v>
      </c>
      <c r="C25" s="51">
        <v>26.0</v>
      </c>
      <c r="D25" s="51">
        <v>18.0</v>
      </c>
      <c r="E25" s="199">
        <f t="shared" si="5"/>
        <v>44</v>
      </c>
      <c r="F25" s="200">
        <f t="shared" si="6"/>
        <v>0.5909090909</v>
      </c>
      <c r="G25" s="51">
        <v>17.0</v>
      </c>
      <c r="H25" s="51">
        <v>11.0</v>
      </c>
      <c r="I25" s="51">
        <v>1.0</v>
      </c>
      <c r="J25" s="51">
        <v>2.0</v>
      </c>
      <c r="K25" s="51">
        <v>0.0</v>
      </c>
      <c r="L25" s="51">
        <v>1.0</v>
      </c>
      <c r="M25" s="51">
        <v>36.0</v>
      </c>
      <c r="N25" s="51">
        <v>26.0</v>
      </c>
      <c r="O25" s="51">
        <v>8.0</v>
      </c>
      <c r="P25" s="51">
        <v>11.0</v>
      </c>
      <c r="Q25" s="51">
        <v>6.0</v>
      </c>
      <c r="R25" s="51">
        <v>9.0</v>
      </c>
      <c r="S25" s="51">
        <v>1.0</v>
      </c>
      <c r="T25" s="51">
        <v>4.0</v>
      </c>
      <c r="U25" s="51">
        <v>0.0</v>
      </c>
      <c r="V25" s="51">
        <v>1.0</v>
      </c>
      <c r="W25" s="51">
        <v>8.0</v>
      </c>
      <c r="X25" s="51">
        <v>11.0</v>
      </c>
      <c r="Y25" s="199">
        <f t="shared" ref="Y25:Z25" si="91">PRODUCT(S25,2)</f>
        <v>2</v>
      </c>
      <c r="Z25" s="199">
        <f t="shared" si="91"/>
        <v>8</v>
      </c>
      <c r="AA25" s="199">
        <f t="shared" ref="AA25:AB25" si="92">PRODUCT(U25,3)</f>
        <v>0</v>
      </c>
      <c r="AB25" s="199">
        <f t="shared" si="92"/>
        <v>3</v>
      </c>
      <c r="AC25" s="199">
        <f t="shared" ref="AC25:AD25" si="93">PRODUCT(W25,4)</f>
        <v>32</v>
      </c>
      <c r="AD25" s="199">
        <f t="shared" si="93"/>
        <v>44</v>
      </c>
      <c r="AE25" s="199">
        <f t="shared" ref="AE25:AF25" si="94">SUM(Y25,AA25,AC25)</f>
        <v>34</v>
      </c>
      <c r="AF25" s="199">
        <f t="shared" si="94"/>
        <v>55</v>
      </c>
      <c r="AG25" s="51">
        <v>137.5</v>
      </c>
    </row>
    <row r="26">
      <c r="A26" s="198" t="s">
        <v>28</v>
      </c>
      <c r="B26" s="199">
        <v>10.0</v>
      </c>
      <c r="C26" s="51">
        <v>27.0</v>
      </c>
      <c r="D26" s="51">
        <v>17.0</v>
      </c>
      <c r="E26" s="199">
        <f t="shared" si="5"/>
        <v>44</v>
      </c>
      <c r="F26" s="200">
        <f t="shared" si="6"/>
        <v>0.6136363636</v>
      </c>
      <c r="G26" s="51">
        <v>23.0</v>
      </c>
      <c r="H26" s="51">
        <v>16.0</v>
      </c>
      <c r="I26" s="51">
        <v>0.0</v>
      </c>
      <c r="J26" s="51">
        <v>1.0</v>
      </c>
      <c r="K26" s="51">
        <v>0.0</v>
      </c>
      <c r="L26" s="51">
        <v>1.0</v>
      </c>
      <c r="M26" s="51">
        <v>38.0</v>
      </c>
      <c r="N26" s="51">
        <v>31.0</v>
      </c>
      <c r="O26" s="51">
        <v>8.0</v>
      </c>
      <c r="P26" s="51">
        <v>12.0</v>
      </c>
      <c r="Q26" s="51">
        <v>11.0</v>
      </c>
      <c r="R26" s="51">
        <v>8.0</v>
      </c>
      <c r="S26" s="51">
        <v>1.0</v>
      </c>
      <c r="T26" s="51">
        <v>2.0</v>
      </c>
      <c r="U26" s="51">
        <v>2.0</v>
      </c>
      <c r="V26" s="51">
        <v>3.0</v>
      </c>
      <c r="W26" s="51">
        <v>10.0</v>
      </c>
      <c r="X26" s="51">
        <v>8.0</v>
      </c>
      <c r="Y26" s="199">
        <f t="shared" ref="Y26:Z26" si="95">PRODUCT(S26,2)</f>
        <v>2</v>
      </c>
      <c r="Z26" s="199">
        <f t="shared" si="95"/>
        <v>4</v>
      </c>
      <c r="AA26" s="199">
        <f t="shared" ref="AA26:AB26" si="96">PRODUCT(U26,3)</f>
        <v>6</v>
      </c>
      <c r="AB26" s="199">
        <f t="shared" si="96"/>
        <v>9</v>
      </c>
      <c r="AC26" s="199">
        <f t="shared" ref="AC26:AD26" si="97">PRODUCT(W26,4)</f>
        <v>40</v>
      </c>
      <c r="AD26" s="199">
        <f t="shared" si="97"/>
        <v>32</v>
      </c>
      <c r="AE26" s="199">
        <f t="shared" ref="AE26:AF26" si="98">SUM(Y26,AA26,AC26)</f>
        <v>48</v>
      </c>
      <c r="AF26" s="199">
        <f t="shared" si="98"/>
        <v>45</v>
      </c>
      <c r="AG26" s="51">
        <v>143.0</v>
      </c>
    </row>
    <row r="27">
      <c r="A27" s="33" t="s">
        <v>152</v>
      </c>
      <c r="B27" s="9"/>
      <c r="C27" s="11">
        <f t="shared" ref="C27:E27" si="99">SUM(C3:C26)</f>
        <v>334</v>
      </c>
      <c r="D27" s="11">
        <f t="shared" si="99"/>
        <v>266</v>
      </c>
      <c r="E27" s="11">
        <f t="shared" si="99"/>
        <v>600</v>
      </c>
      <c r="F27" s="154">
        <f t="shared" si="6"/>
        <v>0.5566666667</v>
      </c>
      <c r="G27" s="11">
        <f t="shared" ref="G27:AG27" si="100">SUM(G3:G26)</f>
        <v>230</v>
      </c>
      <c r="H27" s="11">
        <f t="shared" si="100"/>
        <v>198</v>
      </c>
      <c r="I27" s="11">
        <f t="shared" si="100"/>
        <v>7</v>
      </c>
      <c r="J27" s="11">
        <f t="shared" si="100"/>
        <v>16</v>
      </c>
      <c r="K27" s="11">
        <f t="shared" si="100"/>
        <v>5</v>
      </c>
      <c r="L27" s="11">
        <f t="shared" si="100"/>
        <v>21</v>
      </c>
      <c r="M27" s="11">
        <f t="shared" si="100"/>
        <v>384</v>
      </c>
      <c r="N27" s="11">
        <f t="shared" si="100"/>
        <v>499</v>
      </c>
      <c r="O27" s="11">
        <f t="shared" si="100"/>
        <v>204</v>
      </c>
      <c r="P27" s="11">
        <f t="shared" si="100"/>
        <v>190</v>
      </c>
      <c r="Q27" s="11">
        <f t="shared" si="100"/>
        <v>85</v>
      </c>
      <c r="R27" s="11">
        <f t="shared" si="100"/>
        <v>110</v>
      </c>
      <c r="S27" s="11">
        <f t="shared" si="100"/>
        <v>25</v>
      </c>
      <c r="T27" s="11">
        <f t="shared" si="100"/>
        <v>22</v>
      </c>
      <c r="U27" s="11">
        <f t="shared" si="100"/>
        <v>13</v>
      </c>
      <c r="V27" s="11">
        <f t="shared" si="100"/>
        <v>23</v>
      </c>
      <c r="W27" s="11">
        <f t="shared" si="100"/>
        <v>79</v>
      </c>
      <c r="X27" s="11">
        <f t="shared" si="100"/>
        <v>93</v>
      </c>
      <c r="Y27" s="11">
        <f t="shared" si="100"/>
        <v>50</v>
      </c>
      <c r="Z27" s="11">
        <f t="shared" si="100"/>
        <v>44</v>
      </c>
      <c r="AA27" s="11">
        <f t="shared" si="100"/>
        <v>39</v>
      </c>
      <c r="AB27" s="11">
        <f t="shared" si="100"/>
        <v>69</v>
      </c>
      <c r="AC27" s="11">
        <f t="shared" si="100"/>
        <v>316</v>
      </c>
      <c r="AD27" s="11">
        <f t="shared" si="100"/>
        <v>372</v>
      </c>
      <c r="AE27" s="11">
        <f t="shared" si="100"/>
        <v>405</v>
      </c>
      <c r="AF27" s="11">
        <f t="shared" si="100"/>
        <v>485</v>
      </c>
      <c r="AG27" s="11">
        <f t="shared" si="100"/>
        <v>1648</v>
      </c>
    </row>
  </sheetData>
  <mergeCells count="13">
    <mergeCell ref="Q2:R2"/>
    <mergeCell ref="S2:T2"/>
    <mergeCell ref="A27:B27"/>
    <mergeCell ref="U2:V2"/>
    <mergeCell ref="W2:X2"/>
    <mergeCell ref="A1:AF1"/>
    <mergeCell ref="C2:D2"/>
    <mergeCell ref="G2:H2"/>
    <mergeCell ref="I2:J2"/>
    <mergeCell ref="K2:L2"/>
    <mergeCell ref="M2:N2"/>
    <mergeCell ref="O2:P2"/>
    <mergeCell ref="AE2:AF2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5.5"/>
    <col customWidth="1" min="3" max="4" width="4.5"/>
    <col customWidth="1" hidden="1" min="5" max="5" width="4.5"/>
    <col customWidth="1" min="6" max="6" width="6.0"/>
    <col customWidth="1" min="7" max="22" width="4.5"/>
    <col customWidth="1" hidden="1" min="23" max="26" width="4.5"/>
    <col customWidth="1" min="27" max="27" width="8.13"/>
    <col customWidth="1" min="28" max="28" width="8.0"/>
    <col customWidth="1" min="29" max="29" width="9.75"/>
  </cols>
  <sheetData>
    <row r="1">
      <c r="A1" s="201" t="s">
        <v>216</v>
      </c>
    </row>
    <row r="2">
      <c r="A2" s="202" t="s">
        <v>2</v>
      </c>
      <c r="B2" s="203" t="s">
        <v>62</v>
      </c>
      <c r="C2" s="204" t="s">
        <v>34</v>
      </c>
      <c r="D2" s="9"/>
      <c r="E2" s="203"/>
      <c r="F2" s="203" t="s">
        <v>41</v>
      </c>
      <c r="G2" s="204" t="s">
        <v>48</v>
      </c>
      <c r="H2" s="9"/>
      <c r="I2" s="205" t="s">
        <v>49</v>
      </c>
      <c r="J2" s="9"/>
      <c r="K2" s="33" t="s">
        <v>63</v>
      </c>
      <c r="L2" s="9"/>
      <c r="M2" s="204" t="s">
        <v>46</v>
      </c>
      <c r="N2" s="9"/>
      <c r="O2" s="204" t="s">
        <v>64</v>
      </c>
      <c r="P2" s="9"/>
      <c r="Q2" s="204" t="s">
        <v>65</v>
      </c>
      <c r="R2" s="9"/>
      <c r="S2" s="204" t="s">
        <v>66</v>
      </c>
      <c r="T2" s="9"/>
      <c r="U2" s="204" t="s">
        <v>217</v>
      </c>
      <c r="V2" s="9"/>
      <c r="W2" s="206"/>
      <c r="X2" s="206"/>
      <c r="Y2" s="207"/>
      <c r="Z2" s="207"/>
      <c r="AA2" s="205" t="s">
        <v>74</v>
      </c>
      <c r="AB2" s="9"/>
      <c r="AC2" s="203" t="s">
        <v>52</v>
      </c>
    </row>
    <row r="3">
      <c r="A3" s="208" t="s">
        <v>75</v>
      </c>
      <c r="B3" s="199">
        <v>9.0</v>
      </c>
      <c r="C3" s="199">
        <v>9.0</v>
      </c>
      <c r="D3" s="199">
        <v>20.0</v>
      </c>
      <c r="E3" s="199">
        <f t="shared" ref="E3:E26" si="4">SUM(C3:D3)</f>
        <v>29</v>
      </c>
      <c r="F3" s="200">
        <f t="shared" ref="F3:F27" si="5">PRODUCT(C3, (1/E3))</f>
        <v>0.3103448276</v>
      </c>
      <c r="G3" s="199">
        <v>7.0</v>
      </c>
      <c r="H3" s="199">
        <v>19.0</v>
      </c>
      <c r="I3" s="199">
        <v>0.0</v>
      </c>
      <c r="J3" s="199">
        <v>0.0</v>
      </c>
      <c r="K3" s="199">
        <v>0.0</v>
      </c>
      <c r="L3" s="199">
        <v>0.0</v>
      </c>
      <c r="M3" s="199">
        <v>15.0</v>
      </c>
      <c r="N3" s="199">
        <v>34.0</v>
      </c>
      <c r="O3" s="199">
        <v>13.0</v>
      </c>
      <c r="P3" s="199">
        <v>9.0</v>
      </c>
      <c r="Q3" s="199">
        <v>4.0</v>
      </c>
      <c r="R3" s="199">
        <v>5.0</v>
      </c>
      <c r="S3" s="199">
        <v>2.0</v>
      </c>
      <c r="T3" s="199">
        <v>4.0</v>
      </c>
      <c r="U3" s="199">
        <v>6.0</v>
      </c>
      <c r="V3" s="199">
        <v>2.0</v>
      </c>
      <c r="W3" s="209">
        <f t="shared" ref="W3:X3" si="1">PRODUCT(S3,2)</f>
        <v>4</v>
      </c>
      <c r="X3" s="209">
        <f t="shared" si="1"/>
        <v>8</v>
      </c>
      <c r="Y3" s="210">
        <f t="shared" ref="Y3:Z3" si="2">PRODUCT(U3,3)</f>
        <v>18</v>
      </c>
      <c r="Z3" s="210">
        <f t="shared" si="2"/>
        <v>6</v>
      </c>
      <c r="AA3" s="199">
        <f t="shared" ref="AA3:AB3" si="3">SUM(W3,Y3)</f>
        <v>22</v>
      </c>
      <c r="AB3" s="199">
        <f t="shared" si="3"/>
        <v>14</v>
      </c>
      <c r="AC3" s="199">
        <v>52.0</v>
      </c>
    </row>
    <row r="4">
      <c r="A4" s="208" t="s">
        <v>6</v>
      </c>
      <c r="B4" s="199">
        <v>9.0</v>
      </c>
      <c r="C4" s="199">
        <v>24.0</v>
      </c>
      <c r="D4" s="199">
        <v>10.0</v>
      </c>
      <c r="E4" s="199">
        <f t="shared" si="4"/>
        <v>34</v>
      </c>
      <c r="F4" s="200">
        <f t="shared" si="5"/>
        <v>0.7058823529</v>
      </c>
      <c r="G4" s="199">
        <v>13.0</v>
      </c>
      <c r="H4" s="199">
        <v>3.0</v>
      </c>
      <c r="I4" s="199">
        <v>0.0</v>
      </c>
      <c r="J4" s="199">
        <v>1.0</v>
      </c>
      <c r="K4" s="199">
        <v>0.0</v>
      </c>
      <c r="L4" s="199">
        <v>2.0</v>
      </c>
      <c r="M4" s="199">
        <v>23.0</v>
      </c>
      <c r="N4" s="199">
        <v>24.0</v>
      </c>
      <c r="O4" s="199">
        <v>12.0</v>
      </c>
      <c r="P4" s="199">
        <v>9.0</v>
      </c>
      <c r="Q4" s="199">
        <v>11.0</v>
      </c>
      <c r="R4" s="199">
        <v>11.0</v>
      </c>
      <c r="S4" s="199">
        <v>8.0</v>
      </c>
      <c r="T4" s="199">
        <v>10.0</v>
      </c>
      <c r="U4" s="199">
        <v>3.0</v>
      </c>
      <c r="V4" s="199">
        <v>6.0</v>
      </c>
      <c r="W4" s="209">
        <f t="shared" ref="W4:X4" si="6">PRODUCT(S4,2)</f>
        <v>16</v>
      </c>
      <c r="X4" s="209">
        <f t="shared" si="6"/>
        <v>20</v>
      </c>
      <c r="Y4" s="210">
        <f t="shared" ref="Y4:Z4" si="7">PRODUCT(U4,3)</f>
        <v>9</v>
      </c>
      <c r="Z4" s="210">
        <f t="shared" si="7"/>
        <v>18</v>
      </c>
      <c r="AA4" s="199">
        <f t="shared" ref="AA4:AB4" si="8">SUM(W4,Y4)</f>
        <v>25</v>
      </c>
      <c r="AB4" s="199">
        <f t="shared" si="8"/>
        <v>38</v>
      </c>
      <c r="AC4" s="199">
        <v>111.0</v>
      </c>
    </row>
    <row r="5">
      <c r="A5" s="208" t="s">
        <v>16</v>
      </c>
      <c r="B5" s="199">
        <v>11.0</v>
      </c>
      <c r="C5" s="199">
        <v>28.0</v>
      </c>
      <c r="D5" s="199">
        <v>11.0</v>
      </c>
      <c r="E5" s="199">
        <f t="shared" si="4"/>
        <v>39</v>
      </c>
      <c r="F5" s="200">
        <f t="shared" si="5"/>
        <v>0.7179487179</v>
      </c>
      <c r="G5" s="199">
        <v>19.0</v>
      </c>
      <c r="H5" s="199">
        <v>7.0</v>
      </c>
      <c r="I5" s="199">
        <v>0.0</v>
      </c>
      <c r="J5" s="199">
        <v>0.0</v>
      </c>
      <c r="K5" s="199">
        <v>0.0</v>
      </c>
      <c r="L5" s="199">
        <v>1.0</v>
      </c>
      <c r="M5" s="199">
        <v>31.0</v>
      </c>
      <c r="N5" s="199">
        <v>26.0</v>
      </c>
      <c r="O5" s="199">
        <v>9.0</v>
      </c>
      <c r="P5" s="199">
        <v>6.0</v>
      </c>
      <c r="Q5" s="199">
        <v>3.0</v>
      </c>
      <c r="R5" s="199">
        <v>11.0</v>
      </c>
      <c r="S5" s="199">
        <v>2.0</v>
      </c>
      <c r="T5" s="199">
        <v>3.0</v>
      </c>
      <c r="U5" s="199">
        <v>6.0</v>
      </c>
      <c r="V5" s="199">
        <v>4.0</v>
      </c>
      <c r="W5" s="209">
        <f t="shared" ref="W5:X5" si="9">PRODUCT(S5,2)</f>
        <v>4</v>
      </c>
      <c r="X5" s="209">
        <f t="shared" si="9"/>
        <v>6</v>
      </c>
      <c r="Y5" s="210">
        <f t="shared" ref="Y5:Z5" si="10">PRODUCT(U5,3)</f>
        <v>18</v>
      </c>
      <c r="Z5" s="210">
        <f t="shared" si="10"/>
        <v>12</v>
      </c>
      <c r="AA5" s="199">
        <f t="shared" ref="AA5:AB5" si="11">SUM(W5,Y5)</f>
        <v>22</v>
      </c>
      <c r="AB5" s="199">
        <f t="shared" si="11"/>
        <v>18</v>
      </c>
      <c r="AC5" s="199">
        <v>167.0</v>
      </c>
    </row>
    <row r="6">
      <c r="A6" s="208" t="s">
        <v>84</v>
      </c>
      <c r="B6" s="199">
        <v>9.0</v>
      </c>
      <c r="C6" s="199">
        <v>1.0</v>
      </c>
      <c r="D6" s="199">
        <v>3.0</v>
      </c>
      <c r="E6" s="199">
        <f t="shared" si="4"/>
        <v>4</v>
      </c>
      <c r="F6" s="200">
        <f t="shared" si="5"/>
        <v>0.25</v>
      </c>
      <c r="G6" s="199">
        <v>1.0</v>
      </c>
      <c r="H6" s="199">
        <v>2.0</v>
      </c>
      <c r="I6" s="199">
        <v>0.0</v>
      </c>
      <c r="J6" s="199">
        <v>0.0</v>
      </c>
      <c r="K6" s="199">
        <v>0.0</v>
      </c>
      <c r="L6" s="199">
        <v>0.0</v>
      </c>
      <c r="M6" s="199">
        <v>6.0</v>
      </c>
      <c r="N6" s="199">
        <v>3.0</v>
      </c>
      <c r="O6" s="199">
        <v>3.0</v>
      </c>
      <c r="P6" s="199">
        <v>3.0</v>
      </c>
      <c r="Q6" s="199">
        <v>0.0</v>
      </c>
      <c r="R6" s="199">
        <v>2.0</v>
      </c>
      <c r="S6" s="199">
        <v>1.0</v>
      </c>
      <c r="T6" s="199">
        <v>0.0</v>
      </c>
      <c r="U6" s="199">
        <v>0.0</v>
      </c>
      <c r="V6" s="199">
        <v>3.0</v>
      </c>
      <c r="W6" s="209">
        <f t="shared" ref="W6:X6" si="12">PRODUCT(S6,2)</f>
        <v>2</v>
      </c>
      <c r="X6" s="209">
        <f t="shared" si="12"/>
        <v>0</v>
      </c>
      <c r="Y6" s="210">
        <f t="shared" ref="Y6:Z6" si="13">PRODUCT(U6,3)</f>
        <v>0</v>
      </c>
      <c r="Z6" s="210">
        <f t="shared" si="13"/>
        <v>9</v>
      </c>
      <c r="AA6" s="199">
        <f t="shared" ref="AA6:AB6" si="14">SUM(W6,Y6)</f>
        <v>2</v>
      </c>
      <c r="AB6" s="199">
        <f t="shared" si="14"/>
        <v>9</v>
      </c>
      <c r="AC6" s="199">
        <v>2.0</v>
      </c>
    </row>
    <row r="7">
      <c r="A7" s="208" t="s">
        <v>22</v>
      </c>
      <c r="B7" s="199">
        <v>12.0</v>
      </c>
      <c r="C7" s="199">
        <v>8.0</v>
      </c>
      <c r="D7" s="199">
        <v>12.0</v>
      </c>
      <c r="E7" s="199">
        <f t="shared" si="4"/>
        <v>20</v>
      </c>
      <c r="F7" s="200">
        <f t="shared" si="5"/>
        <v>0.4</v>
      </c>
      <c r="G7" s="199">
        <v>4.0</v>
      </c>
      <c r="H7" s="199">
        <v>11.0</v>
      </c>
      <c r="I7" s="199">
        <v>0.0</v>
      </c>
      <c r="J7" s="199">
        <v>1.0</v>
      </c>
      <c r="K7" s="199">
        <v>0.0</v>
      </c>
      <c r="L7" s="199">
        <v>0.0</v>
      </c>
      <c r="M7" s="199">
        <v>12.0</v>
      </c>
      <c r="N7" s="199">
        <v>19.0</v>
      </c>
      <c r="O7" s="199">
        <v>7.0</v>
      </c>
      <c r="P7" s="199">
        <v>5.0</v>
      </c>
      <c r="Q7" s="199">
        <v>2.0</v>
      </c>
      <c r="R7" s="199">
        <v>3.0</v>
      </c>
      <c r="S7" s="199">
        <v>0.0</v>
      </c>
      <c r="T7" s="199">
        <v>6.0</v>
      </c>
      <c r="U7" s="199">
        <v>3.0</v>
      </c>
      <c r="V7" s="199">
        <v>0.0</v>
      </c>
      <c r="W7" s="209">
        <f t="shared" ref="W7:X7" si="15">PRODUCT(S7,2)</f>
        <v>0</v>
      </c>
      <c r="X7" s="209">
        <f t="shared" si="15"/>
        <v>12</v>
      </c>
      <c r="Y7" s="210">
        <f t="shared" ref="Y7:Z7" si="16">PRODUCT(U7,3)</f>
        <v>9</v>
      </c>
      <c r="Z7" s="210">
        <f t="shared" si="16"/>
        <v>0</v>
      </c>
      <c r="AA7" s="199">
        <f t="shared" ref="AA7:AB7" si="17">SUM(W7,Y7)</f>
        <v>9</v>
      </c>
      <c r="AB7" s="199">
        <f t="shared" si="17"/>
        <v>12</v>
      </c>
      <c r="AC7" s="199">
        <v>42.0</v>
      </c>
    </row>
    <row r="8">
      <c r="A8" s="208" t="s">
        <v>38</v>
      </c>
      <c r="B8" s="199">
        <v>11.0</v>
      </c>
      <c r="C8" s="199">
        <v>22.0</v>
      </c>
      <c r="D8" s="199">
        <v>14.0</v>
      </c>
      <c r="E8" s="199">
        <f t="shared" si="4"/>
        <v>36</v>
      </c>
      <c r="F8" s="200">
        <f t="shared" si="5"/>
        <v>0.6111111111</v>
      </c>
      <c r="G8" s="199">
        <v>11.0</v>
      </c>
      <c r="H8" s="199">
        <v>10.0</v>
      </c>
      <c r="I8" s="199">
        <v>0.0</v>
      </c>
      <c r="J8" s="199">
        <v>0.0</v>
      </c>
      <c r="K8" s="199">
        <v>1.0</v>
      </c>
      <c r="L8" s="199">
        <v>2.0</v>
      </c>
      <c r="M8" s="199">
        <v>35.0</v>
      </c>
      <c r="N8" s="199">
        <v>25.0</v>
      </c>
      <c r="O8" s="199">
        <v>6.0</v>
      </c>
      <c r="P8" s="199">
        <v>18.0</v>
      </c>
      <c r="Q8" s="199">
        <v>8.0</v>
      </c>
      <c r="R8" s="199">
        <v>5.0</v>
      </c>
      <c r="S8" s="199">
        <v>5.0</v>
      </c>
      <c r="T8" s="199">
        <v>7.0</v>
      </c>
      <c r="U8" s="199">
        <v>6.0</v>
      </c>
      <c r="V8" s="199">
        <v>12.0</v>
      </c>
      <c r="W8" s="209">
        <f t="shared" ref="W8:X8" si="18">PRODUCT(S8,2)</f>
        <v>10</v>
      </c>
      <c r="X8" s="209">
        <f t="shared" si="18"/>
        <v>14</v>
      </c>
      <c r="Y8" s="210">
        <f t="shared" ref="Y8:Z8" si="19">PRODUCT(U8,3)</f>
        <v>18</v>
      </c>
      <c r="Z8" s="210">
        <f t="shared" si="19"/>
        <v>36</v>
      </c>
      <c r="AA8" s="199">
        <f t="shared" ref="AA8:AB8" si="20">SUM(W8,Y8)</f>
        <v>28</v>
      </c>
      <c r="AB8" s="199">
        <f t="shared" si="20"/>
        <v>50</v>
      </c>
      <c r="AC8" s="199">
        <v>129.0</v>
      </c>
    </row>
    <row r="9">
      <c r="A9" s="208" t="s">
        <v>44</v>
      </c>
      <c r="B9" s="199">
        <v>11.0</v>
      </c>
      <c r="C9" s="199">
        <v>25.0</v>
      </c>
      <c r="D9" s="199">
        <v>12.0</v>
      </c>
      <c r="E9" s="199">
        <f t="shared" si="4"/>
        <v>37</v>
      </c>
      <c r="F9" s="200">
        <f t="shared" si="5"/>
        <v>0.6756756757</v>
      </c>
      <c r="G9" s="199">
        <v>15.0</v>
      </c>
      <c r="H9" s="199">
        <v>8.0</v>
      </c>
      <c r="I9" s="199">
        <v>0.0</v>
      </c>
      <c r="J9" s="199">
        <v>0.0</v>
      </c>
      <c r="K9" s="199">
        <v>0.0</v>
      </c>
      <c r="L9" s="199">
        <v>0.0</v>
      </c>
      <c r="M9" s="199">
        <v>34.0</v>
      </c>
      <c r="N9" s="199">
        <v>11.0</v>
      </c>
      <c r="O9" s="199">
        <v>7.0</v>
      </c>
      <c r="P9" s="199">
        <v>10.0</v>
      </c>
      <c r="Q9" s="199">
        <v>1.0</v>
      </c>
      <c r="R9" s="199">
        <v>7.0</v>
      </c>
      <c r="S9" s="199">
        <v>7.0</v>
      </c>
      <c r="T9" s="199">
        <v>2.0</v>
      </c>
      <c r="U9" s="199">
        <v>5.0</v>
      </c>
      <c r="V9" s="199">
        <v>3.0</v>
      </c>
      <c r="W9" s="209">
        <f t="shared" ref="W9:X9" si="21">PRODUCT(S9,2)</f>
        <v>14</v>
      </c>
      <c r="X9" s="209">
        <f t="shared" si="21"/>
        <v>4</v>
      </c>
      <c r="Y9" s="210">
        <f t="shared" ref="Y9:Z9" si="22">PRODUCT(U9,3)</f>
        <v>15</v>
      </c>
      <c r="Z9" s="210">
        <f t="shared" si="22"/>
        <v>9</v>
      </c>
      <c r="AA9" s="199">
        <f t="shared" ref="AA9:AB9" si="23">SUM(W9,Y9)</f>
        <v>29</v>
      </c>
      <c r="AB9" s="199">
        <f t="shared" si="23"/>
        <v>13</v>
      </c>
      <c r="AC9" s="199">
        <v>143.0</v>
      </c>
    </row>
    <row r="10">
      <c r="A10" s="208" t="s">
        <v>90</v>
      </c>
      <c r="B10" s="199">
        <v>10.0</v>
      </c>
      <c r="C10" s="199">
        <v>9.0</v>
      </c>
      <c r="D10" s="199">
        <v>11.0</v>
      </c>
      <c r="E10" s="199">
        <f t="shared" si="4"/>
        <v>20</v>
      </c>
      <c r="F10" s="200">
        <f t="shared" si="5"/>
        <v>0.45</v>
      </c>
      <c r="G10" s="199">
        <v>5.0</v>
      </c>
      <c r="H10" s="199">
        <v>7.0</v>
      </c>
      <c r="I10" s="199">
        <v>0.0</v>
      </c>
      <c r="J10" s="199">
        <v>0.0</v>
      </c>
      <c r="K10" s="199">
        <v>0.0</v>
      </c>
      <c r="L10" s="199">
        <v>1.0</v>
      </c>
      <c r="M10" s="199">
        <v>12.0</v>
      </c>
      <c r="N10" s="199">
        <v>21.0</v>
      </c>
      <c r="O10" s="199">
        <v>12.0</v>
      </c>
      <c r="P10" s="199">
        <v>4.0</v>
      </c>
      <c r="Q10" s="199">
        <v>0.0</v>
      </c>
      <c r="R10" s="199" t="s">
        <v>145</v>
      </c>
      <c r="S10" s="199">
        <v>1.0</v>
      </c>
      <c r="T10" s="199">
        <v>5.0</v>
      </c>
      <c r="U10" s="199">
        <v>0.0</v>
      </c>
      <c r="V10" s="199">
        <v>4.0</v>
      </c>
      <c r="W10" s="209">
        <f t="shared" ref="W10:X10" si="24">PRODUCT(S10,2)</f>
        <v>2</v>
      </c>
      <c r="X10" s="209">
        <f t="shared" si="24"/>
        <v>10</v>
      </c>
      <c r="Y10" s="210">
        <f t="shared" ref="Y10:Z10" si="25">PRODUCT(U10,3)</f>
        <v>0</v>
      </c>
      <c r="Z10" s="210">
        <f t="shared" si="25"/>
        <v>12</v>
      </c>
      <c r="AA10" s="199">
        <f t="shared" ref="AA10:AB10" si="26">SUM(W10,Y10)</f>
        <v>2</v>
      </c>
      <c r="AB10" s="199">
        <f t="shared" si="26"/>
        <v>22</v>
      </c>
      <c r="AC10" s="199">
        <v>50.0</v>
      </c>
    </row>
    <row r="11">
      <c r="A11" s="208" t="s">
        <v>93</v>
      </c>
      <c r="B11" s="199">
        <v>10.0</v>
      </c>
      <c r="C11" s="199">
        <v>7.0</v>
      </c>
      <c r="D11" s="199">
        <v>8.0</v>
      </c>
      <c r="E11" s="199">
        <f t="shared" si="4"/>
        <v>15</v>
      </c>
      <c r="F11" s="200">
        <f t="shared" si="5"/>
        <v>0.4666666667</v>
      </c>
      <c r="G11" s="199">
        <v>2.0</v>
      </c>
      <c r="H11" s="199">
        <v>8.0</v>
      </c>
      <c r="I11" s="199">
        <v>0.0</v>
      </c>
      <c r="J11" s="199">
        <v>0.0</v>
      </c>
      <c r="K11" s="199">
        <v>0.0</v>
      </c>
      <c r="L11" s="199">
        <v>0.0</v>
      </c>
      <c r="M11" s="199">
        <v>5.0</v>
      </c>
      <c r="N11" s="199">
        <v>9.0</v>
      </c>
      <c r="O11" s="199">
        <v>4.0</v>
      </c>
      <c r="P11" s="199">
        <v>1.0</v>
      </c>
      <c r="Q11" s="199">
        <v>0.0</v>
      </c>
      <c r="R11" s="199">
        <v>2.0</v>
      </c>
      <c r="S11" s="199">
        <v>1.0</v>
      </c>
      <c r="T11" s="199">
        <v>0.0</v>
      </c>
      <c r="U11" s="199">
        <v>0.0</v>
      </c>
      <c r="V11" s="199">
        <v>0.0</v>
      </c>
      <c r="W11" s="209">
        <f t="shared" ref="W11:X11" si="27">PRODUCT(S11,2)</f>
        <v>2</v>
      </c>
      <c r="X11" s="209">
        <f t="shared" si="27"/>
        <v>0</v>
      </c>
      <c r="Y11" s="210">
        <f t="shared" ref="Y11:Z11" si="28">PRODUCT(U11,3)</f>
        <v>0</v>
      </c>
      <c r="Z11" s="210">
        <f t="shared" si="28"/>
        <v>0</v>
      </c>
      <c r="AA11" s="199">
        <f t="shared" ref="AA11:AB11" si="29">SUM(W11,Y11)</f>
        <v>2</v>
      </c>
      <c r="AB11" s="199">
        <f t="shared" si="29"/>
        <v>0</v>
      </c>
      <c r="AC11" s="199">
        <v>40.0</v>
      </c>
    </row>
    <row r="12">
      <c r="A12" s="208" t="s">
        <v>94</v>
      </c>
      <c r="B12" s="199">
        <v>9.0</v>
      </c>
      <c r="C12" s="199">
        <v>6.0</v>
      </c>
      <c r="D12" s="199">
        <v>8.0</v>
      </c>
      <c r="E12" s="199">
        <f t="shared" si="4"/>
        <v>14</v>
      </c>
      <c r="F12" s="200">
        <f t="shared" si="5"/>
        <v>0.4285714286</v>
      </c>
      <c r="G12" s="199">
        <v>5.0</v>
      </c>
      <c r="H12" s="199">
        <v>8.0</v>
      </c>
      <c r="I12" s="199">
        <v>0.0</v>
      </c>
      <c r="J12" s="199">
        <v>0.0</v>
      </c>
      <c r="K12" s="199">
        <v>0.0</v>
      </c>
      <c r="L12" s="199">
        <v>0.0</v>
      </c>
      <c r="M12" s="199">
        <v>7.0</v>
      </c>
      <c r="N12" s="199">
        <v>10.0</v>
      </c>
      <c r="O12" s="199">
        <v>2.0</v>
      </c>
      <c r="P12" s="199">
        <v>3.0</v>
      </c>
      <c r="Q12" s="199">
        <v>3.0</v>
      </c>
      <c r="R12" s="199">
        <v>2.0</v>
      </c>
      <c r="S12" s="199">
        <v>1.0</v>
      </c>
      <c r="T12" s="199">
        <v>1.0</v>
      </c>
      <c r="U12" s="199">
        <v>4.0</v>
      </c>
      <c r="V12" s="199">
        <v>0.0</v>
      </c>
      <c r="W12" s="209">
        <f t="shared" ref="W12:X12" si="30">PRODUCT(S12,2)</f>
        <v>2</v>
      </c>
      <c r="X12" s="209">
        <f t="shared" si="30"/>
        <v>2</v>
      </c>
      <c r="Y12" s="210">
        <f t="shared" ref="Y12:Z12" si="31">PRODUCT(U12,3)</f>
        <v>12</v>
      </c>
      <c r="Z12" s="210">
        <f t="shared" si="31"/>
        <v>0</v>
      </c>
      <c r="AA12" s="199">
        <f t="shared" ref="AA12:AB12" si="32">SUM(W12,Y12)</f>
        <v>14</v>
      </c>
      <c r="AB12" s="199">
        <f t="shared" si="32"/>
        <v>2</v>
      </c>
      <c r="AC12" s="199">
        <v>47.0</v>
      </c>
    </row>
    <row r="13">
      <c r="A13" s="208" t="s">
        <v>103</v>
      </c>
      <c r="B13" s="199">
        <v>9.0</v>
      </c>
      <c r="C13" s="199">
        <v>9.0</v>
      </c>
      <c r="D13" s="199">
        <v>10.0</v>
      </c>
      <c r="E13" s="199">
        <f t="shared" si="4"/>
        <v>19</v>
      </c>
      <c r="F13" s="200">
        <f t="shared" si="5"/>
        <v>0.4736842105</v>
      </c>
      <c r="G13" s="199">
        <v>8.0</v>
      </c>
      <c r="H13" s="199">
        <v>10.0</v>
      </c>
      <c r="I13" s="199">
        <v>0.0</v>
      </c>
      <c r="J13" s="199">
        <v>0.0</v>
      </c>
      <c r="K13" s="199">
        <v>0.0</v>
      </c>
      <c r="L13" s="199">
        <v>0.0</v>
      </c>
      <c r="M13" s="199">
        <v>13.0</v>
      </c>
      <c r="N13" s="199">
        <v>18.0</v>
      </c>
      <c r="O13" s="199">
        <v>7.0</v>
      </c>
      <c r="P13" s="199">
        <v>2.0</v>
      </c>
      <c r="Q13" s="199">
        <v>4.0</v>
      </c>
      <c r="R13" s="199">
        <v>2.0</v>
      </c>
      <c r="S13" s="199">
        <v>4.0</v>
      </c>
      <c r="T13" s="199">
        <v>0.0</v>
      </c>
      <c r="U13" s="199">
        <v>3.0</v>
      </c>
      <c r="V13" s="199">
        <v>3.0</v>
      </c>
      <c r="W13" s="209">
        <f t="shared" ref="W13:X13" si="33">PRODUCT(S13,2)</f>
        <v>8</v>
      </c>
      <c r="X13" s="209">
        <f t="shared" si="33"/>
        <v>0</v>
      </c>
      <c r="Y13" s="210">
        <f t="shared" ref="Y13:Z13" si="34">PRODUCT(U13,3)</f>
        <v>9</v>
      </c>
      <c r="Z13" s="210">
        <f t="shared" si="34"/>
        <v>9</v>
      </c>
      <c r="AA13" s="199">
        <f t="shared" ref="AA13:AB13" si="35">SUM(W13,Y13)</f>
        <v>17</v>
      </c>
      <c r="AB13" s="199">
        <f t="shared" si="35"/>
        <v>9</v>
      </c>
      <c r="AC13" s="199">
        <v>44.0</v>
      </c>
    </row>
    <row r="14">
      <c r="A14" s="208" t="s">
        <v>104</v>
      </c>
      <c r="B14" s="199">
        <v>10.0</v>
      </c>
      <c r="C14" s="199">
        <v>7.0</v>
      </c>
      <c r="D14" s="199">
        <v>14.0</v>
      </c>
      <c r="E14" s="199">
        <f t="shared" si="4"/>
        <v>21</v>
      </c>
      <c r="F14" s="200">
        <f t="shared" si="5"/>
        <v>0.3333333333</v>
      </c>
      <c r="G14" s="199">
        <v>4.0</v>
      </c>
      <c r="H14" s="199">
        <v>14.0</v>
      </c>
      <c r="I14" s="199">
        <v>0.0</v>
      </c>
      <c r="J14" s="199">
        <v>0.0</v>
      </c>
      <c r="K14" s="199">
        <v>0.0</v>
      </c>
      <c r="L14" s="199">
        <v>0.0</v>
      </c>
      <c r="M14" s="199">
        <v>1.0</v>
      </c>
      <c r="N14" s="199">
        <v>22.0</v>
      </c>
      <c r="O14" s="199">
        <v>3.0</v>
      </c>
      <c r="P14" s="199">
        <v>0.0</v>
      </c>
      <c r="Q14" s="199">
        <v>5.0</v>
      </c>
      <c r="R14" s="199">
        <v>4.0</v>
      </c>
      <c r="S14" s="199">
        <v>0.0</v>
      </c>
      <c r="T14" s="199">
        <v>4.0</v>
      </c>
      <c r="U14" s="199">
        <v>1.0</v>
      </c>
      <c r="V14" s="199">
        <v>8.0</v>
      </c>
      <c r="W14" s="209">
        <f t="shared" ref="W14:X14" si="36">PRODUCT(S14,2)</f>
        <v>0</v>
      </c>
      <c r="X14" s="209">
        <f t="shared" si="36"/>
        <v>8</v>
      </c>
      <c r="Y14" s="210">
        <f t="shared" ref="Y14:Z14" si="37">PRODUCT(U14,3)</f>
        <v>3</v>
      </c>
      <c r="Z14" s="210">
        <f t="shared" si="37"/>
        <v>24</v>
      </c>
      <c r="AA14" s="199">
        <f t="shared" ref="AA14:AB14" si="38">SUM(W14,Y14)</f>
        <v>3</v>
      </c>
      <c r="AB14" s="199">
        <f t="shared" si="38"/>
        <v>32</v>
      </c>
      <c r="AC14" s="199">
        <v>25.0</v>
      </c>
    </row>
    <row r="15">
      <c r="A15" s="208" t="s">
        <v>7</v>
      </c>
      <c r="B15" s="199">
        <v>11.0</v>
      </c>
      <c r="C15" s="199">
        <v>16.0</v>
      </c>
      <c r="D15" s="199">
        <v>9.0</v>
      </c>
      <c r="E15" s="199">
        <f t="shared" si="4"/>
        <v>25</v>
      </c>
      <c r="F15" s="200">
        <f t="shared" si="5"/>
        <v>0.64</v>
      </c>
      <c r="G15" s="199">
        <v>14.0</v>
      </c>
      <c r="H15" s="199">
        <v>6.0</v>
      </c>
      <c r="I15" s="199">
        <v>0.0</v>
      </c>
      <c r="J15" s="199">
        <v>1.0</v>
      </c>
      <c r="K15" s="199">
        <v>0.0</v>
      </c>
      <c r="L15" s="199">
        <v>0.0</v>
      </c>
      <c r="M15" s="199">
        <v>12.0</v>
      </c>
      <c r="N15" s="199">
        <v>28.0</v>
      </c>
      <c r="O15" s="199">
        <v>13.0</v>
      </c>
      <c r="P15" s="199">
        <v>6.0</v>
      </c>
      <c r="Q15" s="199">
        <v>8.0</v>
      </c>
      <c r="R15" s="199">
        <v>14.0</v>
      </c>
      <c r="S15" s="199">
        <v>1.0</v>
      </c>
      <c r="T15" s="199">
        <v>2.0</v>
      </c>
      <c r="U15" s="199">
        <v>2.0</v>
      </c>
      <c r="V15" s="199">
        <v>8.0</v>
      </c>
      <c r="W15" s="209">
        <f t="shared" ref="W15:X15" si="39">PRODUCT(S15,2)</f>
        <v>2</v>
      </c>
      <c r="X15" s="209">
        <f t="shared" si="39"/>
        <v>4</v>
      </c>
      <c r="Y15" s="210">
        <f t="shared" ref="Y15:Z15" si="40">PRODUCT(U15,3)</f>
        <v>6</v>
      </c>
      <c r="Z15" s="210">
        <f t="shared" si="40"/>
        <v>24</v>
      </c>
      <c r="AA15" s="199">
        <f t="shared" ref="AA15:AB15" si="41">SUM(W15,Y15)</f>
        <v>8</v>
      </c>
      <c r="AB15" s="199">
        <f t="shared" si="41"/>
        <v>28</v>
      </c>
      <c r="AC15" s="199">
        <v>98.0</v>
      </c>
    </row>
    <row r="16">
      <c r="A16" s="208" t="s">
        <v>110</v>
      </c>
      <c r="B16" s="199">
        <v>11.0</v>
      </c>
      <c r="C16" s="199">
        <v>9.0</v>
      </c>
      <c r="D16" s="199">
        <v>6.0</v>
      </c>
      <c r="E16" s="199">
        <f t="shared" si="4"/>
        <v>15</v>
      </c>
      <c r="F16" s="200">
        <f t="shared" si="5"/>
        <v>0.6</v>
      </c>
      <c r="G16" s="199">
        <v>8.0</v>
      </c>
      <c r="H16" s="199">
        <v>4.0</v>
      </c>
      <c r="I16" s="199">
        <v>0.0</v>
      </c>
      <c r="J16" s="199">
        <v>0.0</v>
      </c>
      <c r="K16" s="199">
        <v>0.0</v>
      </c>
      <c r="L16" s="199">
        <v>1.0</v>
      </c>
      <c r="M16" s="199">
        <v>10.0</v>
      </c>
      <c r="N16" s="199">
        <v>13.0</v>
      </c>
      <c r="O16" s="199">
        <v>7.0</v>
      </c>
      <c r="P16" s="199">
        <v>2.0</v>
      </c>
      <c r="Q16" s="199">
        <v>1.0</v>
      </c>
      <c r="R16" s="199">
        <v>3.0</v>
      </c>
      <c r="S16" s="199">
        <v>1.0</v>
      </c>
      <c r="T16" s="199">
        <v>1.0</v>
      </c>
      <c r="U16" s="199">
        <v>2.0</v>
      </c>
      <c r="V16" s="199">
        <v>4.0</v>
      </c>
      <c r="W16" s="209">
        <f t="shared" ref="W16:X16" si="42">PRODUCT(S16,2)</f>
        <v>2</v>
      </c>
      <c r="X16" s="209">
        <f t="shared" si="42"/>
        <v>2</v>
      </c>
      <c r="Y16" s="210">
        <f t="shared" ref="Y16:Z16" si="43">PRODUCT(U16,3)</f>
        <v>6</v>
      </c>
      <c r="Z16" s="210">
        <f t="shared" si="43"/>
        <v>12</v>
      </c>
      <c r="AA16" s="199">
        <f t="shared" ref="AA16:AB16" si="44">SUM(W16,Y16)</f>
        <v>8</v>
      </c>
      <c r="AB16" s="199">
        <f t="shared" si="44"/>
        <v>14</v>
      </c>
      <c r="AC16" s="199">
        <v>38.0</v>
      </c>
    </row>
    <row r="17">
      <c r="A17" s="208" t="s">
        <v>118</v>
      </c>
      <c r="B17" s="199">
        <v>9.0</v>
      </c>
      <c r="C17" s="199">
        <v>10.0</v>
      </c>
      <c r="D17" s="199">
        <v>9.0</v>
      </c>
      <c r="E17" s="199">
        <f t="shared" si="4"/>
        <v>19</v>
      </c>
      <c r="F17" s="200">
        <f t="shared" si="5"/>
        <v>0.5263157895</v>
      </c>
      <c r="G17" s="199">
        <v>6.0</v>
      </c>
      <c r="H17" s="199">
        <v>8.0</v>
      </c>
      <c r="I17" s="199">
        <v>0.0</v>
      </c>
      <c r="J17" s="199">
        <v>0.0</v>
      </c>
      <c r="K17" s="199">
        <v>0.0</v>
      </c>
      <c r="L17" s="199">
        <v>0.0</v>
      </c>
      <c r="M17" s="199">
        <v>13.0</v>
      </c>
      <c r="N17" s="199">
        <v>7.0</v>
      </c>
      <c r="O17" s="199">
        <v>1.0</v>
      </c>
      <c r="P17" s="199">
        <v>2.0</v>
      </c>
      <c r="Q17" s="199">
        <v>0.0</v>
      </c>
      <c r="R17" s="199">
        <v>4.0</v>
      </c>
      <c r="S17" s="199">
        <v>0.0</v>
      </c>
      <c r="T17" s="199">
        <v>0.0</v>
      </c>
      <c r="U17" s="199">
        <v>6.0</v>
      </c>
      <c r="V17" s="199">
        <v>0.0</v>
      </c>
      <c r="W17" s="209">
        <f t="shared" ref="W17:X17" si="45">PRODUCT(S17,2)</f>
        <v>0</v>
      </c>
      <c r="X17" s="209">
        <f t="shared" si="45"/>
        <v>0</v>
      </c>
      <c r="Y17" s="210">
        <f t="shared" ref="Y17:Z17" si="46">PRODUCT(U17,3)</f>
        <v>18</v>
      </c>
      <c r="Z17" s="210">
        <f t="shared" si="46"/>
        <v>0</v>
      </c>
      <c r="AA17" s="199">
        <f t="shared" ref="AA17:AB17" si="47">SUM(W17,Y17)</f>
        <v>18</v>
      </c>
      <c r="AB17" s="199">
        <f t="shared" si="47"/>
        <v>0</v>
      </c>
      <c r="AC17" s="199">
        <v>54.0</v>
      </c>
    </row>
    <row r="18">
      <c r="A18" s="208" t="s">
        <v>24</v>
      </c>
      <c r="B18" s="199">
        <v>9.0</v>
      </c>
      <c r="C18" s="199">
        <v>10.0</v>
      </c>
      <c r="D18" s="199">
        <v>9.0</v>
      </c>
      <c r="E18" s="199">
        <f t="shared" si="4"/>
        <v>19</v>
      </c>
      <c r="F18" s="200">
        <f t="shared" si="5"/>
        <v>0.5263157895</v>
      </c>
      <c r="G18" s="199">
        <v>7.0</v>
      </c>
      <c r="H18" s="199">
        <v>6.0</v>
      </c>
      <c r="I18" s="199">
        <v>0.0</v>
      </c>
      <c r="J18" s="199">
        <v>2.0</v>
      </c>
      <c r="K18" s="199">
        <v>0.0</v>
      </c>
      <c r="L18" s="199">
        <v>0.0</v>
      </c>
      <c r="M18" s="199">
        <v>18.0</v>
      </c>
      <c r="N18" s="199">
        <v>26.0</v>
      </c>
      <c r="O18" s="199">
        <v>15.0</v>
      </c>
      <c r="P18" s="199">
        <v>15.0</v>
      </c>
      <c r="Q18" s="199">
        <v>7.0</v>
      </c>
      <c r="R18" s="199">
        <v>7.0</v>
      </c>
      <c r="S18" s="199">
        <v>1.0</v>
      </c>
      <c r="T18" s="199">
        <v>6.0</v>
      </c>
      <c r="U18" s="199">
        <v>4.0</v>
      </c>
      <c r="V18" s="199">
        <v>7.0</v>
      </c>
      <c r="W18" s="209">
        <f t="shared" ref="W18:X18" si="48">PRODUCT(S18,2)</f>
        <v>2</v>
      </c>
      <c r="X18" s="209">
        <f t="shared" si="48"/>
        <v>12</v>
      </c>
      <c r="Y18" s="210">
        <f t="shared" ref="Y18:Z18" si="49">PRODUCT(U18,3)</f>
        <v>12</v>
      </c>
      <c r="Z18" s="210">
        <f t="shared" si="49"/>
        <v>21</v>
      </c>
      <c r="AA18" s="199">
        <f t="shared" ref="AA18:AB18" si="50">SUM(W18,Y18)</f>
        <v>14</v>
      </c>
      <c r="AB18" s="199">
        <f t="shared" si="50"/>
        <v>33</v>
      </c>
      <c r="AC18" s="199">
        <v>24.0</v>
      </c>
    </row>
    <row r="19">
      <c r="A19" s="208" t="s">
        <v>4</v>
      </c>
      <c r="B19" s="199">
        <v>9.0</v>
      </c>
      <c r="C19" s="199">
        <v>33.0</v>
      </c>
      <c r="D19" s="199">
        <v>9.0</v>
      </c>
      <c r="E19" s="199">
        <f t="shared" si="4"/>
        <v>42</v>
      </c>
      <c r="F19" s="200">
        <f t="shared" si="5"/>
        <v>0.7857142857</v>
      </c>
      <c r="G19" s="199">
        <v>27.0</v>
      </c>
      <c r="H19" s="199">
        <v>7.0</v>
      </c>
      <c r="I19" s="199">
        <v>0.0</v>
      </c>
      <c r="J19" s="199">
        <v>0.0</v>
      </c>
      <c r="K19" s="199">
        <v>0.0</v>
      </c>
      <c r="L19" s="199">
        <v>0.0</v>
      </c>
      <c r="M19" s="199">
        <v>46.0</v>
      </c>
      <c r="N19" s="199">
        <v>14.0</v>
      </c>
      <c r="O19" s="199">
        <v>2.0</v>
      </c>
      <c r="P19" s="199">
        <v>21.0</v>
      </c>
      <c r="Q19" s="199">
        <v>0.0</v>
      </c>
      <c r="R19" s="199">
        <v>2.0</v>
      </c>
      <c r="S19" s="199">
        <v>2.0</v>
      </c>
      <c r="T19" s="199">
        <v>2.0</v>
      </c>
      <c r="U19" s="199">
        <v>3.0</v>
      </c>
      <c r="V19" s="199">
        <v>4.0</v>
      </c>
      <c r="W19" s="209">
        <f t="shared" ref="W19:X19" si="51">PRODUCT(S19,2)</f>
        <v>4</v>
      </c>
      <c r="X19" s="209">
        <f t="shared" si="51"/>
        <v>4</v>
      </c>
      <c r="Y19" s="210">
        <f t="shared" ref="Y19:Z19" si="52">PRODUCT(U19,3)</f>
        <v>9</v>
      </c>
      <c r="Z19" s="210">
        <f t="shared" si="52"/>
        <v>12</v>
      </c>
      <c r="AA19" s="199">
        <f t="shared" ref="AA19:AB19" si="53">SUM(W19,Y19)</f>
        <v>13</v>
      </c>
      <c r="AB19" s="199">
        <f t="shared" si="53"/>
        <v>16</v>
      </c>
      <c r="AC19" s="199">
        <v>180.0</v>
      </c>
    </row>
    <row r="20">
      <c r="A20" s="208" t="s">
        <v>9</v>
      </c>
      <c r="B20" s="199">
        <v>11.0</v>
      </c>
      <c r="C20" s="199">
        <v>25.0</v>
      </c>
      <c r="D20" s="199">
        <v>11.0</v>
      </c>
      <c r="E20" s="199">
        <f t="shared" si="4"/>
        <v>36</v>
      </c>
      <c r="F20" s="200">
        <f t="shared" si="5"/>
        <v>0.6944444444</v>
      </c>
      <c r="G20" s="199">
        <v>19.0</v>
      </c>
      <c r="H20" s="199">
        <v>11.0</v>
      </c>
      <c r="I20" s="199">
        <v>0.0</v>
      </c>
      <c r="J20" s="199">
        <v>0.0</v>
      </c>
      <c r="K20" s="199">
        <v>0.0</v>
      </c>
      <c r="L20" s="199">
        <v>0.0</v>
      </c>
      <c r="M20" s="199">
        <v>25.0</v>
      </c>
      <c r="N20" s="199">
        <v>18.0</v>
      </c>
      <c r="O20" s="199">
        <v>6.0</v>
      </c>
      <c r="P20" s="199">
        <v>3.0</v>
      </c>
      <c r="Q20" s="199">
        <v>3.0</v>
      </c>
      <c r="R20" s="199">
        <v>7.0</v>
      </c>
      <c r="S20" s="199">
        <v>0.0</v>
      </c>
      <c r="T20" s="199">
        <v>6.0</v>
      </c>
      <c r="U20" s="199">
        <v>4.0</v>
      </c>
      <c r="V20" s="199">
        <v>3.0</v>
      </c>
      <c r="W20" s="209">
        <f t="shared" ref="W20:X20" si="54">PRODUCT(S20,2)</f>
        <v>0</v>
      </c>
      <c r="X20" s="209">
        <f t="shared" si="54"/>
        <v>12</v>
      </c>
      <c r="Y20" s="210">
        <f t="shared" ref="Y20:Z20" si="55">PRODUCT(U20,3)</f>
        <v>12</v>
      </c>
      <c r="Z20" s="210">
        <f t="shared" si="55"/>
        <v>9</v>
      </c>
      <c r="AA20" s="199">
        <f t="shared" ref="AA20:AB20" si="56">SUM(W20,Y20)</f>
        <v>12</v>
      </c>
      <c r="AB20" s="199">
        <f t="shared" si="56"/>
        <v>21</v>
      </c>
      <c r="AC20" s="199">
        <v>130.0</v>
      </c>
    </row>
    <row r="21">
      <c r="A21" s="208" t="s">
        <v>5</v>
      </c>
      <c r="B21" s="199">
        <v>12.0</v>
      </c>
      <c r="C21" s="199">
        <v>28.0</v>
      </c>
      <c r="D21" s="199">
        <v>10.0</v>
      </c>
      <c r="E21" s="199">
        <f t="shared" si="4"/>
        <v>38</v>
      </c>
      <c r="F21" s="200">
        <f t="shared" si="5"/>
        <v>0.7368421053</v>
      </c>
      <c r="G21" s="199">
        <v>20.0</v>
      </c>
      <c r="H21" s="199">
        <v>8.0</v>
      </c>
      <c r="I21" s="199">
        <v>0.0</v>
      </c>
      <c r="J21" s="199">
        <v>0.0</v>
      </c>
      <c r="K21" s="199">
        <v>0.0</v>
      </c>
      <c r="L21" s="199">
        <v>0.0</v>
      </c>
      <c r="M21" s="199">
        <v>38.0</v>
      </c>
      <c r="N21" s="199">
        <v>20.0</v>
      </c>
      <c r="O21" s="199">
        <v>13.0</v>
      </c>
      <c r="P21" s="199">
        <v>11.0</v>
      </c>
      <c r="Q21" s="199">
        <v>1.0</v>
      </c>
      <c r="R21" s="199">
        <v>8.0</v>
      </c>
      <c r="S21" s="199">
        <v>3.0</v>
      </c>
      <c r="T21" s="199">
        <v>0.0</v>
      </c>
      <c r="U21" s="199">
        <v>3.0</v>
      </c>
      <c r="V21" s="199">
        <v>3.0</v>
      </c>
      <c r="W21" s="209">
        <f t="shared" ref="W21:X21" si="57">PRODUCT(S21,2)</f>
        <v>6</v>
      </c>
      <c r="X21" s="209">
        <f t="shared" si="57"/>
        <v>0</v>
      </c>
      <c r="Y21" s="210">
        <f t="shared" ref="Y21:Z21" si="58">PRODUCT(U21,3)</f>
        <v>9</v>
      </c>
      <c r="Z21" s="210">
        <f t="shared" si="58"/>
        <v>9</v>
      </c>
      <c r="AA21" s="199">
        <f t="shared" ref="AA21:AB21" si="59">SUM(W21,Y21)</f>
        <v>15</v>
      </c>
      <c r="AB21" s="199">
        <f t="shared" si="59"/>
        <v>9</v>
      </c>
      <c r="AC21" s="199">
        <v>157.0</v>
      </c>
    </row>
    <row r="22">
      <c r="A22" s="208" t="s">
        <v>18</v>
      </c>
      <c r="B22" s="199">
        <v>11.0</v>
      </c>
      <c r="C22" s="199">
        <v>5.0</v>
      </c>
      <c r="D22" s="199">
        <v>6.0</v>
      </c>
      <c r="E22" s="199">
        <f t="shared" si="4"/>
        <v>11</v>
      </c>
      <c r="F22" s="200">
        <f t="shared" si="5"/>
        <v>0.4545454545</v>
      </c>
      <c r="G22" s="199">
        <v>3.0</v>
      </c>
      <c r="H22" s="199">
        <v>6.0</v>
      </c>
      <c r="I22" s="199">
        <v>0.0</v>
      </c>
      <c r="J22" s="199">
        <v>0.0</v>
      </c>
      <c r="K22" s="199">
        <v>0.0</v>
      </c>
      <c r="L22" s="199">
        <v>0.0</v>
      </c>
      <c r="M22" s="199">
        <v>7.0</v>
      </c>
      <c r="N22" s="199">
        <v>7.0</v>
      </c>
      <c r="O22" s="199">
        <v>1.0</v>
      </c>
      <c r="P22" s="199">
        <v>3.0</v>
      </c>
      <c r="Q22" s="199">
        <v>0.0</v>
      </c>
      <c r="R22" s="199">
        <v>1.0</v>
      </c>
      <c r="S22" s="199">
        <v>1.0</v>
      </c>
      <c r="T22" s="199">
        <v>1.0</v>
      </c>
      <c r="U22" s="199">
        <v>1.0</v>
      </c>
      <c r="V22" s="199">
        <v>0.0</v>
      </c>
      <c r="W22" s="209">
        <f t="shared" ref="W22:X22" si="60">PRODUCT(S22,2)</f>
        <v>2</v>
      </c>
      <c r="X22" s="209">
        <f t="shared" si="60"/>
        <v>2</v>
      </c>
      <c r="Y22" s="210">
        <f t="shared" ref="Y22:Z22" si="61">PRODUCT(U22,3)</f>
        <v>3</v>
      </c>
      <c r="Z22" s="210">
        <f t="shared" si="61"/>
        <v>0</v>
      </c>
      <c r="AA22" s="199">
        <f t="shared" ref="AA22:AB22" si="62">SUM(W22,Y22)</f>
        <v>5</v>
      </c>
      <c r="AB22" s="199">
        <f t="shared" si="62"/>
        <v>2</v>
      </c>
      <c r="AC22" s="199">
        <v>51.0</v>
      </c>
    </row>
    <row r="23">
      <c r="A23" s="208" t="s">
        <v>134</v>
      </c>
      <c r="B23" s="199">
        <v>12.0</v>
      </c>
      <c r="C23" s="199">
        <v>7.0</v>
      </c>
      <c r="D23" s="199">
        <v>7.0</v>
      </c>
      <c r="E23" s="199">
        <f t="shared" si="4"/>
        <v>14</v>
      </c>
      <c r="F23" s="200">
        <f t="shared" si="5"/>
        <v>0.5</v>
      </c>
      <c r="G23" s="199">
        <v>6.0</v>
      </c>
      <c r="H23" s="199">
        <v>7.0</v>
      </c>
      <c r="I23" s="199">
        <v>0.0</v>
      </c>
      <c r="J23" s="199">
        <v>0.0</v>
      </c>
      <c r="K23" s="199">
        <v>0.0</v>
      </c>
      <c r="L23" s="199">
        <v>0.0</v>
      </c>
      <c r="M23" s="199">
        <v>14.0</v>
      </c>
      <c r="N23" s="199">
        <v>10.0</v>
      </c>
      <c r="O23" s="199">
        <v>8.0</v>
      </c>
      <c r="P23" s="199">
        <v>3.0</v>
      </c>
      <c r="Q23" s="199">
        <v>0.0</v>
      </c>
      <c r="R23" s="199">
        <v>6.0</v>
      </c>
      <c r="S23" s="199">
        <v>4.0</v>
      </c>
      <c r="T23" s="199">
        <v>2.0</v>
      </c>
      <c r="U23" s="199">
        <v>2.0</v>
      </c>
      <c r="V23" s="199">
        <v>2.0</v>
      </c>
      <c r="W23" s="209">
        <f t="shared" ref="W23:X23" si="63">PRODUCT(S23,2)</f>
        <v>8</v>
      </c>
      <c r="X23" s="209">
        <f t="shared" si="63"/>
        <v>4</v>
      </c>
      <c r="Y23" s="210">
        <f t="shared" ref="Y23:Z23" si="64">PRODUCT(U23,3)</f>
        <v>6</v>
      </c>
      <c r="Z23" s="210">
        <f t="shared" si="64"/>
        <v>6</v>
      </c>
      <c r="AA23" s="199">
        <f t="shared" ref="AA23:AB23" si="65">SUM(W23,Y23)</f>
        <v>14</v>
      </c>
      <c r="AB23" s="199">
        <f t="shared" si="65"/>
        <v>10</v>
      </c>
      <c r="AC23" s="199">
        <v>30.0</v>
      </c>
    </row>
    <row r="24">
      <c r="A24" s="208" t="s">
        <v>135</v>
      </c>
      <c r="B24" s="199">
        <v>11.0</v>
      </c>
      <c r="C24" s="199">
        <v>8.0</v>
      </c>
      <c r="D24" s="199">
        <v>9.0</v>
      </c>
      <c r="E24" s="199">
        <f t="shared" si="4"/>
        <v>17</v>
      </c>
      <c r="F24" s="200">
        <f t="shared" si="5"/>
        <v>0.4705882353</v>
      </c>
      <c r="G24" s="199">
        <v>5.0</v>
      </c>
      <c r="H24" s="199">
        <v>5.0</v>
      </c>
      <c r="I24" s="199">
        <v>0.0</v>
      </c>
      <c r="J24" s="199">
        <v>0.0</v>
      </c>
      <c r="K24" s="199">
        <v>0.0</v>
      </c>
      <c r="L24" s="199">
        <v>0.0</v>
      </c>
      <c r="M24" s="199">
        <v>22.0</v>
      </c>
      <c r="N24" s="199">
        <v>19.0</v>
      </c>
      <c r="O24" s="199">
        <v>9.0</v>
      </c>
      <c r="P24" s="199">
        <v>16.0</v>
      </c>
      <c r="Q24" s="199">
        <v>6.0</v>
      </c>
      <c r="R24" s="199">
        <v>6.0</v>
      </c>
      <c r="S24" s="199">
        <v>1.0</v>
      </c>
      <c r="T24" s="199">
        <v>2.0</v>
      </c>
      <c r="U24" s="199">
        <v>1.0</v>
      </c>
      <c r="V24" s="199">
        <v>0.0</v>
      </c>
      <c r="W24" s="209">
        <f t="shared" ref="W24:X24" si="66">PRODUCT(S24,2)</f>
        <v>2</v>
      </c>
      <c r="X24" s="209">
        <f t="shared" si="66"/>
        <v>4</v>
      </c>
      <c r="Y24" s="210">
        <f t="shared" ref="Y24:Z24" si="67">PRODUCT(U24,3)</f>
        <v>3</v>
      </c>
      <c r="Z24" s="210">
        <f t="shared" si="67"/>
        <v>0</v>
      </c>
      <c r="AA24" s="199">
        <f t="shared" ref="AA24:AB24" si="68">SUM(W24,Y24)</f>
        <v>5</v>
      </c>
      <c r="AB24" s="199">
        <f t="shared" si="68"/>
        <v>4</v>
      </c>
      <c r="AC24" s="199">
        <v>34.0</v>
      </c>
    </row>
    <row r="25">
      <c r="A25" s="208" t="s">
        <v>29</v>
      </c>
      <c r="B25" s="199">
        <v>10.0</v>
      </c>
      <c r="C25" s="199">
        <v>19.0</v>
      </c>
      <c r="D25" s="199">
        <v>14.0</v>
      </c>
      <c r="E25" s="199">
        <f t="shared" si="4"/>
        <v>33</v>
      </c>
      <c r="F25" s="200">
        <f t="shared" si="5"/>
        <v>0.5757575758</v>
      </c>
      <c r="G25" s="199">
        <v>8.0</v>
      </c>
      <c r="H25" s="199">
        <v>10.0</v>
      </c>
      <c r="I25" s="199">
        <v>0.0</v>
      </c>
      <c r="J25" s="199">
        <v>0.0</v>
      </c>
      <c r="K25" s="199">
        <v>0.0</v>
      </c>
      <c r="L25" s="199">
        <v>2.0</v>
      </c>
      <c r="M25" s="199">
        <v>27.0</v>
      </c>
      <c r="N25" s="199">
        <v>29.0</v>
      </c>
      <c r="O25" s="199">
        <v>12.0</v>
      </c>
      <c r="P25" s="199">
        <v>13.0</v>
      </c>
      <c r="Q25" s="199">
        <v>8.0</v>
      </c>
      <c r="R25" s="199">
        <v>8.0</v>
      </c>
      <c r="S25" s="199">
        <v>2.0</v>
      </c>
      <c r="T25" s="199">
        <v>2.0</v>
      </c>
      <c r="U25" s="199">
        <v>7.0</v>
      </c>
      <c r="V25" s="199">
        <v>3.0</v>
      </c>
      <c r="W25" s="209">
        <f t="shared" ref="W25:X25" si="69">PRODUCT(S25,2)</f>
        <v>4</v>
      </c>
      <c r="X25" s="209">
        <f t="shared" si="69"/>
        <v>4</v>
      </c>
      <c r="Y25" s="210">
        <f t="shared" ref="Y25:Z25" si="70">PRODUCT(U25,3)</f>
        <v>21</v>
      </c>
      <c r="Z25" s="210">
        <f t="shared" si="70"/>
        <v>9</v>
      </c>
      <c r="AA25" s="199">
        <f t="shared" ref="AA25:AB25" si="71">SUM(W25,Y25)</f>
        <v>25</v>
      </c>
      <c r="AB25" s="199">
        <f t="shared" si="71"/>
        <v>13</v>
      </c>
      <c r="AC25" s="199">
        <v>86.0</v>
      </c>
    </row>
    <row r="26">
      <c r="A26" s="208" t="s">
        <v>17</v>
      </c>
      <c r="B26" s="199">
        <v>10.0</v>
      </c>
      <c r="C26" s="199">
        <v>25.0</v>
      </c>
      <c r="D26" s="199">
        <v>15.0</v>
      </c>
      <c r="E26" s="199">
        <f t="shared" si="4"/>
        <v>40</v>
      </c>
      <c r="F26" s="200">
        <f t="shared" si="5"/>
        <v>0.625</v>
      </c>
      <c r="G26" s="199">
        <v>12.0</v>
      </c>
      <c r="H26" s="199">
        <v>14.0</v>
      </c>
      <c r="I26" s="199">
        <v>0.0</v>
      </c>
      <c r="J26" s="199">
        <v>0.0</v>
      </c>
      <c r="K26" s="199">
        <v>0.0</v>
      </c>
      <c r="L26" s="199">
        <v>0.0</v>
      </c>
      <c r="M26" s="199">
        <v>24.0</v>
      </c>
      <c r="N26" s="199">
        <v>21.0</v>
      </c>
      <c r="O26" s="199">
        <v>6.0</v>
      </c>
      <c r="P26" s="199">
        <v>10.0</v>
      </c>
      <c r="Q26" s="199">
        <v>2.0</v>
      </c>
      <c r="R26" s="199">
        <v>4.0</v>
      </c>
      <c r="S26" s="199">
        <v>2.0</v>
      </c>
      <c r="T26" s="199">
        <v>1.0</v>
      </c>
      <c r="U26" s="199">
        <v>2.0</v>
      </c>
      <c r="V26" s="199">
        <v>1.0</v>
      </c>
      <c r="W26" s="209">
        <f t="shared" ref="W26:X26" si="72">PRODUCT(S26,2)</f>
        <v>4</v>
      </c>
      <c r="X26" s="209">
        <f t="shared" si="72"/>
        <v>2</v>
      </c>
      <c r="Y26" s="210">
        <f t="shared" ref="Y26:Z26" si="73">PRODUCT(U26,3)</f>
        <v>6</v>
      </c>
      <c r="Z26" s="210">
        <f t="shared" si="73"/>
        <v>3</v>
      </c>
      <c r="AA26" s="199">
        <f t="shared" ref="AA26:AB26" si="74">SUM(W26,Y26)</f>
        <v>10</v>
      </c>
      <c r="AB26" s="199">
        <f t="shared" si="74"/>
        <v>5</v>
      </c>
      <c r="AC26" s="199">
        <v>124.0</v>
      </c>
    </row>
    <row r="27">
      <c r="A27" s="33" t="s">
        <v>152</v>
      </c>
      <c r="B27" s="9"/>
      <c r="C27" s="11">
        <f t="shared" ref="C27:E27" si="75">SUM(C3:C26)</f>
        <v>350</v>
      </c>
      <c r="D27" s="11">
        <f t="shared" si="75"/>
        <v>247</v>
      </c>
      <c r="E27" s="11">
        <f t="shared" si="75"/>
        <v>597</v>
      </c>
      <c r="F27" s="154">
        <f t="shared" si="5"/>
        <v>0.5862646566</v>
      </c>
      <c r="G27" s="11">
        <f t="shared" ref="G27:V27" si="76">SUM(G3:G26)</f>
        <v>229</v>
      </c>
      <c r="H27" s="11">
        <f t="shared" si="76"/>
        <v>199</v>
      </c>
      <c r="I27" s="11">
        <f t="shared" si="76"/>
        <v>0</v>
      </c>
      <c r="J27" s="11">
        <f t="shared" si="76"/>
        <v>5</v>
      </c>
      <c r="K27" s="11">
        <f t="shared" si="76"/>
        <v>1</v>
      </c>
      <c r="L27" s="11">
        <f t="shared" si="76"/>
        <v>9</v>
      </c>
      <c r="M27" s="11">
        <f t="shared" si="76"/>
        <v>450</v>
      </c>
      <c r="N27" s="11">
        <f t="shared" si="76"/>
        <v>434</v>
      </c>
      <c r="O27" s="11">
        <f t="shared" si="76"/>
        <v>178</v>
      </c>
      <c r="P27" s="11">
        <f t="shared" si="76"/>
        <v>175</v>
      </c>
      <c r="Q27" s="11">
        <f t="shared" si="76"/>
        <v>77</v>
      </c>
      <c r="R27" s="11">
        <f t="shared" si="76"/>
        <v>124</v>
      </c>
      <c r="S27" s="11">
        <f t="shared" si="76"/>
        <v>50</v>
      </c>
      <c r="T27" s="11">
        <f t="shared" si="76"/>
        <v>67</v>
      </c>
      <c r="U27" s="11">
        <f t="shared" si="76"/>
        <v>74</v>
      </c>
      <c r="V27" s="11">
        <f t="shared" si="76"/>
        <v>80</v>
      </c>
      <c r="W27" s="11">
        <f t="shared" ref="W27:X27" si="77">SUM(I3:I26)</f>
        <v>0</v>
      </c>
      <c r="X27" s="11">
        <f t="shared" si="77"/>
        <v>5</v>
      </c>
      <c r="Y27" s="11"/>
      <c r="Z27" s="11">
        <f>SUM(AC3:AC26)</f>
        <v>1858</v>
      </c>
      <c r="AA27" s="11">
        <f t="shared" ref="AA27:AC27" si="78">SUM(AA3:AA26)</f>
        <v>322</v>
      </c>
      <c r="AB27" s="11">
        <f t="shared" si="78"/>
        <v>374</v>
      </c>
      <c r="AC27" s="11">
        <f t="shared" si="78"/>
        <v>1858</v>
      </c>
    </row>
  </sheetData>
  <mergeCells count="12">
    <mergeCell ref="Q2:R2"/>
    <mergeCell ref="S2:T2"/>
    <mergeCell ref="A27:B27"/>
    <mergeCell ref="U2:V2"/>
    <mergeCell ref="AA2:AB2"/>
    <mergeCell ref="A1:AC1"/>
    <mergeCell ref="C2:D2"/>
    <mergeCell ref="G2:H2"/>
    <mergeCell ref="I2:J2"/>
    <mergeCell ref="K2:L2"/>
    <mergeCell ref="M2:N2"/>
    <mergeCell ref="O2:P2"/>
  </mergeCell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38"/>
    <col customWidth="1" min="2" max="2" width="5.5"/>
    <col customWidth="1" min="3" max="4" width="4.5"/>
    <col customWidth="1" hidden="1" min="5" max="5" width="4.5"/>
    <col customWidth="1" min="6" max="6" width="6.13"/>
    <col customWidth="1" min="7" max="24" width="4.5"/>
    <col customWidth="1" min="25" max="25" width="7.25"/>
    <col customWidth="1" min="26" max="26" width="8.75"/>
    <col customWidth="1" hidden="1" min="27" max="28" width="4.5"/>
    <col customWidth="1" min="29" max="29" width="9.75"/>
  </cols>
  <sheetData>
    <row r="1">
      <c r="A1" s="211" t="s">
        <v>216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9"/>
    </row>
    <row r="2">
      <c r="A2" s="212" t="s">
        <v>2</v>
      </c>
      <c r="B2" s="213" t="s">
        <v>62</v>
      </c>
      <c r="C2" s="214" t="s">
        <v>34</v>
      </c>
      <c r="E2" s="214"/>
      <c r="F2" s="214" t="s">
        <v>41</v>
      </c>
      <c r="G2" s="214" t="s">
        <v>48</v>
      </c>
      <c r="I2" s="214" t="s">
        <v>49</v>
      </c>
      <c r="K2" s="214" t="s">
        <v>63</v>
      </c>
      <c r="M2" s="214" t="s">
        <v>46</v>
      </c>
      <c r="O2" s="214" t="s">
        <v>64</v>
      </c>
      <c r="Q2" s="214" t="s">
        <v>65</v>
      </c>
      <c r="S2" s="214" t="s">
        <v>66</v>
      </c>
      <c r="U2" s="204" t="s">
        <v>217</v>
      </c>
      <c r="V2" s="9"/>
      <c r="W2" s="204" t="s">
        <v>66</v>
      </c>
      <c r="X2" s="9"/>
      <c r="Y2" s="215" t="s">
        <v>74</v>
      </c>
      <c r="Z2" s="9"/>
      <c r="AA2" s="214"/>
      <c r="AB2" s="214"/>
      <c r="AC2" s="216" t="s">
        <v>52</v>
      </c>
    </row>
    <row r="3" ht="17.25" customHeight="1">
      <c r="A3" s="217" t="s">
        <v>32</v>
      </c>
      <c r="B3" s="37">
        <v>10.0</v>
      </c>
      <c r="C3" s="37">
        <v>6.0</v>
      </c>
      <c r="D3" s="37">
        <v>7.0</v>
      </c>
      <c r="E3" s="37">
        <f t="shared" ref="E3:E24" si="4">SUM(C3:D3)</f>
        <v>13</v>
      </c>
      <c r="F3" s="218">
        <f t="shared" ref="F3:F24" si="5">PRODUCT(C3,(1/E3))</f>
        <v>0.4615384615</v>
      </c>
      <c r="G3" s="37">
        <v>5.0</v>
      </c>
      <c r="H3" s="37">
        <v>7.0</v>
      </c>
      <c r="I3" s="37">
        <v>0.0</v>
      </c>
      <c r="J3" s="37">
        <v>0.0</v>
      </c>
      <c r="K3" s="37">
        <v>0.0</v>
      </c>
      <c r="L3" s="37">
        <v>0.0</v>
      </c>
      <c r="M3" s="37">
        <v>16.0</v>
      </c>
      <c r="N3" s="37">
        <v>2.0</v>
      </c>
      <c r="O3" s="37">
        <v>1.0</v>
      </c>
      <c r="P3" s="37">
        <v>1.0</v>
      </c>
      <c r="Q3" s="37">
        <v>1.0</v>
      </c>
      <c r="R3" s="37">
        <v>6.0</v>
      </c>
      <c r="S3" s="37">
        <v>2.0</v>
      </c>
      <c r="T3" s="37">
        <v>0.0</v>
      </c>
      <c r="U3" s="37">
        <v>2.0</v>
      </c>
      <c r="V3" s="37">
        <v>1.0</v>
      </c>
      <c r="W3" s="37">
        <f t="shared" ref="W3:X3" si="1">PRODUCT(U3,3)</f>
        <v>6</v>
      </c>
      <c r="X3" s="37">
        <f t="shared" si="1"/>
        <v>3</v>
      </c>
      <c r="Y3" s="37">
        <f t="shared" ref="Y3:Z3" si="2">SUM(W3,AA3)</f>
        <v>10</v>
      </c>
      <c r="Z3" s="37">
        <f t="shared" si="2"/>
        <v>3</v>
      </c>
      <c r="AA3" s="37">
        <f t="shared" ref="AA3:AB3" si="3">PRODUCT(S3,2)</f>
        <v>4</v>
      </c>
      <c r="AB3" s="37">
        <f t="shared" si="3"/>
        <v>0</v>
      </c>
      <c r="AC3" s="37">
        <v>32.0</v>
      </c>
    </row>
    <row r="4" ht="17.25" customHeight="1">
      <c r="A4" s="219" t="s">
        <v>81</v>
      </c>
      <c r="B4" s="35">
        <v>9.0</v>
      </c>
      <c r="C4" s="35">
        <v>11.0</v>
      </c>
      <c r="D4" s="35">
        <v>14.0</v>
      </c>
      <c r="E4" s="35">
        <f t="shared" si="4"/>
        <v>25</v>
      </c>
      <c r="F4" s="220">
        <f t="shared" si="5"/>
        <v>0.44</v>
      </c>
      <c r="G4" s="35">
        <v>4.0</v>
      </c>
      <c r="H4" s="35">
        <v>13.0</v>
      </c>
      <c r="I4" s="35">
        <v>0.0</v>
      </c>
      <c r="J4" s="35">
        <v>0.0</v>
      </c>
      <c r="K4" s="35">
        <v>0.0</v>
      </c>
      <c r="L4" s="35">
        <v>0.0</v>
      </c>
      <c r="M4" s="35">
        <v>11.0</v>
      </c>
      <c r="N4" s="35">
        <v>20.0</v>
      </c>
      <c r="O4" s="35">
        <v>4.0</v>
      </c>
      <c r="P4" s="35">
        <v>5.0</v>
      </c>
      <c r="Q4" s="35">
        <v>2.0</v>
      </c>
      <c r="R4" s="35">
        <v>1.0</v>
      </c>
      <c r="S4" s="35">
        <v>1.0</v>
      </c>
      <c r="T4" s="35">
        <v>7.0</v>
      </c>
      <c r="U4" s="35">
        <v>2.0</v>
      </c>
      <c r="V4" s="35">
        <v>3.0</v>
      </c>
      <c r="W4" s="35">
        <f t="shared" ref="W4:X4" si="6">PRODUCT(U4,3)</f>
        <v>6</v>
      </c>
      <c r="X4" s="35">
        <f t="shared" si="6"/>
        <v>9</v>
      </c>
      <c r="Y4" s="35">
        <f t="shared" ref="Y4:Z4" si="7">SUM(W4,AA4)</f>
        <v>8</v>
      </c>
      <c r="Z4" s="35">
        <f t="shared" si="7"/>
        <v>23</v>
      </c>
      <c r="AA4" s="35">
        <f t="shared" ref="AA4:AB4" si="8">PRODUCT(S4,2)</f>
        <v>2</v>
      </c>
      <c r="AB4" s="35">
        <f t="shared" si="8"/>
        <v>14</v>
      </c>
      <c r="AC4" s="35">
        <v>31.0</v>
      </c>
    </row>
    <row r="5" ht="17.25" customHeight="1">
      <c r="A5" s="217" t="s">
        <v>16</v>
      </c>
      <c r="B5" s="37">
        <v>10.0</v>
      </c>
      <c r="C5" s="37">
        <v>27.0</v>
      </c>
      <c r="D5" s="37">
        <v>13.0</v>
      </c>
      <c r="E5" s="37">
        <f t="shared" si="4"/>
        <v>40</v>
      </c>
      <c r="F5" s="218">
        <f t="shared" si="5"/>
        <v>0.675</v>
      </c>
      <c r="G5" s="37">
        <v>19.0</v>
      </c>
      <c r="H5" s="37">
        <v>9.0</v>
      </c>
      <c r="I5" s="37">
        <v>0.0</v>
      </c>
      <c r="J5" s="37">
        <v>0.0</v>
      </c>
      <c r="K5" s="37">
        <v>0.0</v>
      </c>
      <c r="L5" s="37">
        <v>0.0</v>
      </c>
      <c r="M5" s="37">
        <v>39.0</v>
      </c>
      <c r="N5" s="37">
        <v>18.0</v>
      </c>
      <c r="O5" s="37">
        <v>9.0</v>
      </c>
      <c r="P5" s="37">
        <v>10.0</v>
      </c>
      <c r="Q5" s="37">
        <v>2.0</v>
      </c>
      <c r="R5" s="37">
        <v>7.0</v>
      </c>
      <c r="S5" s="37">
        <v>3.0</v>
      </c>
      <c r="T5" s="37">
        <v>3.0</v>
      </c>
      <c r="U5" s="37">
        <v>3.0</v>
      </c>
      <c r="V5" s="37">
        <v>4.0</v>
      </c>
      <c r="W5" s="37">
        <f t="shared" ref="W5:X5" si="9">PRODUCT(U5,3)</f>
        <v>9</v>
      </c>
      <c r="X5" s="37">
        <f t="shared" si="9"/>
        <v>12</v>
      </c>
      <c r="Y5" s="37">
        <f t="shared" ref="Y5:Z5" si="10">SUM(W5,AA5)</f>
        <v>15</v>
      </c>
      <c r="Z5" s="37">
        <f t="shared" si="10"/>
        <v>18</v>
      </c>
      <c r="AA5" s="37">
        <f t="shared" ref="AA5:AB5" si="11">PRODUCT(S5,2)</f>
        <v>6</v>
      </c>
      <c r="AB5" s="37">
        <f t="shared" si="11"/>
        <v>6</v>
      </c>
      <c r="AC5" s="37">
        <v>123.0</v>
      </c>
    </row>
    <row r="6" ht="17.25" customHeight="1">
      <c r="A6" s="219" t="s">
        <v>82</v>
      </c>
      <c r="B6" s="35">
        <v>10.0</v>
      </c>
      <c r="C6" s="35">
        <v>12.0</v>
      </c>
      <c r="D6" s="35">
        <v>9.0</v>
      </c>
      <c r="E6" s="35">
        <f t="shared" si="4"/>
        <v>21</v>
      </c>
      <c r="F6" s="220">
        <f t="shared" si="5"/>
        <v>0.5714285714</v>
      </c>
      <c r="G6" s="35">
        <v>9.0</v>
      </c>
      <c r="H6" s="35">
        <v>8.0</v>
      </c>
      <c r="I6" s="35">
        <v>0.0</v>
      </c>
      <c r="J6" s="35">
        <v>0.0</v>
      </c>
      <c r="K6" s="35">
        <v>0.0</v>
      </c>
      <c r="L6" s="35">
        <v>0.0</v>
      </c>
      <c r="M6" s="35">
        <v>8.0</v>
      </c>
      <c r="N6" s="35">
        <v>13.0</v>
      </c>
      <c r="O6" s="35">
        <v>1.0</v>
      </c>
      <c r="P6" s="35">
        <v>2.0</v>
      </c>
      <c r="Q6" s="35">
        <v>3.0</v>
      </c>
      <c r="R6" s="35">
        <v>0.0</v>
      </c>
      <c r="S6" s="35">
        <v>3.0</v>
      </c>
      <c r="T6" s="35">
        <v>0.0</v>
      </c>
      <c r="U6" s="35">
        <v>2.0</v>
      </c>
      <c r="V6" s="35">
        <v>2.0</v>
      </c>
      <c r="W6" s="35">
        <f t="shared" ref="W6:X6" si="12">PRODUCT(U6,3)</f>
        <v>6</v>
      </c>
      <c r="X6" s="35">
        <f t="shared" si="12"/>
        <v>6</v>
      </c>
      <c r="Y6" s="35">
        <f t="shared" ref="Y6:Z6" si="13">SUM(W6,AA6)</f>
        <v>12</v>
      </c>
      <c r="Z6" s="35">
        <f t="shared" si="13"/>
        <v>6</v>
      </c>
      <c r="AA6" s="35">
        <f t="shared" ref="AA6:AB6" si="14">PRODUCT(S6,2)</f>
        <v>6</v>
      </c>
      <c r="AB6" s="35">
        <f t="shared" si="14"/>
        <v>0</v>
      </c>
      <c r="AC6" s="35">
        <v>62.0</v>
      </c>
    </row>
    <row r="7" ht="17.25" customHeight="1">
      <c r="A7" s="217" t="s">
        <v>38</v>
      </c>
      <c r="B7" s="37">
        <v>10.0</v>
      </c>
      <c r="C7" s="37">
        <v>21.0</v>
      </c>
      <c r="D7" s="37">
        <v>14.0</v>
      </c>
      <c r="E7" s="37">
        <f t="shared" si="4"/>
        <v>35</v>
      </c>
      <c r="F7" s="218">
        <f t="shared" si="5"/>
        <v>0.6</v>
      </c>
      <c r="G7" s="37">
        <v>15.0</v>
      </c>
      <c r="H7" s="37">
        <v>7.0</v>
      </c>
      <c r="I7" s="37">
        <v>0.0</v>
      </c>
      <c r="J7" s="37">
        <v>0.0</v>
      </c>
      <c r="K7" s="37">
        <v>2.0</v>
      </c>
      <c r="L7" s="37">
        <v>2.0</v>
      </c>
      <c r="M7" s="37">
        <v>30.0</v>
      </c>
      <c r="N7" s="37">
        <v>20.0</v>
      </c>
      <c r="O7" s="37">
        <v>3.0</v>
      </c>
      <c r="P7" s="37">
        <v>10.0</v>
      </c>
      <c r="Q7" s="37">
        <v>11.0</v>
      </c>
      <c r="R7" s="37">
        <v>6.0</v>
      </c>
      <c r="S7" s="37">
        <v>3.0</v>
      </c>
      <c r="T7" s="37">
        <v>3.0</v>
      </c>
      <c r="U7" s="37">
        <v>10.0</v>
      </c>
      <c r="V7" s="37">
        <v>6.0</v>
      </c>
      <c r="W7" s="37">
        <f t="shared" ref="W7:X7" si="15">PRODUCT(U7,3)</f>
        <v>30</v>
      </c>
      <c r="X7" s="37">
        <f t="shared" si="15"/>
        <v>18</v>
      </c>
      <c r="Y7" s="37">
        <f t="shared" ref="Y7:Z7" si="16">SUM(W7,AA7)</f>
        <v>36</v>
      </c>
      <c r="Z7" s="37">
        <f t="shared" si="16"/>
        <v>24</v>
      </c>
      <c r="AA7" s="37">
        <f t="shared" ref="AA7:AB7" si="17">PRODUCT(S7,2)</f>
        <v>6</v>
      </c>
      <c r="AB7" s="37">
        <f t="shared" si="17"/>
        <v>6</v>
      </c>
      <c r="AC7" s="37">
        <v>115.0</v>
      </c>
    </row>
    <row r="8" ht="17.25" customHeight="1">
      <c r="A8" s="219" t="s">
        <v>44</v>
      </c>
      <c r="B8" s="35">
        <v>10.0</v>
      </c>
      <c r="C8" s="35">
        <v>27.0</v>
      </c>
      <c r="D8" s="35">
        <v>11.0</v>
      </c>
      <c r="E8" s="35">
        <f t="shared" si="4"/>
        <v>38</v>
      </c>
      <c r="F8" s="220">
        <f t="shared" si="5"/>
        <v>0.7105263158</v>
      </c>
      <c r="G8" s="35">
        <v>18.0</v>
      </c>
      <c r="H8" s="35">
        <v>8.0</v>
      </c>
      <c r="I8" s="35">
        <v>0.0</v>
      </c>
      <c r="J8" s="35">
        <v>0.0</v>
      </c>
      <c r="K8" s="35">
        <v>0.0</v>
      </c>
      <c r="L8" s="35">
        <v>2.0</v>
      </c>
      <c r="M8" s="35">
        <v>29.0</v>
      </c>
      <c r="N8" s="35">
        <v>18.0</v>
      </c>
      <c r="O8" s="35">
        <v>11.0</v>
      </c>
      <c r="P8" s="35">
        <v>11.0</v>
      </c>
      <c r="Q8" s="35">
        <v>6.0</v>
      </c>
      <c r="R8" s="35">
        <v>6.0</v>
      </c>
      <c r="S8" s="35">
        <v>6.0</v>
      </c>
      <c r="T8" s="35">
        <v>1.0</v>
      </c>
      <c r="U8" s="35">
        <v>3.0</v>
      </c>
      <c r="V8" s="35">
        <v>4.0</v>
      </c>
      <c r="W8" s="35">
        <f t="shared" ref="W8:X8" si="18">PRODUCT(U8,3)</f>
        <v>9</v>
      </c>
      <c r="X8" s="35">
        <f t="shared" si="18"/>
        <v>12</v>
      </c>
      <c r="Y8" s="35">
        <f t="shared" ref="Y8:Z8" si="19">SUM(W8,AA8)</f>
        <v>21</v>
      </c>
      <c r="Z8" s="35">
        <f t="shared" si="19"/>
        <v>14</v>
      </c>
      <c r="AA8" s="35">
        <f t="shared" ref="AA8:AB8" si="20">PRODUCT(S8,2)</f>
        <v>12</v>
      </c>
      <c r="AB8" s="35">
        <f t="shared" si="20"/>
        <v>2</v>
      </c>
      <c r="AC8" s="35">
        <v>114.0</v>
      </c>
    </row>
    <row r="9" ht="17.25" customHeight="1">
      <c r="A9" s="217" t="s">
        <v>90</v>
      </c>
      <c r="B9" s="37">
        <v>9.0</v>
      </c>
      <c r="C9" s="37">
        <v>12.0</v>
      </c>
      <c r="D9" s="37">
        <v>18.0</v>
      </c>
      <c r="E9" s="37">
        <f t="shared" si="4"/>
        <v>30</v>
      </c>
      <c r="F9" s="218">
        <f t="shared" si="5"/>
        <v>0.4</v>
      </c>
      <c r="G9" s="37">
        <v>9.0</v>
      </c>
      <c r="H9" s="37">
        <v>15.0</v>
      </c>
      <c r="I9" s="37">
        <v>0.0</v>
      </c>
      <c r="J9" s="37">
        <v>0.0</v>
      </c>
      <c r="K9" s="37">
        <v>0.0</v>
      </c>
      <c r="L9" s="37">
        <v>1.0</v>
      </c>
      <c r="M9" s="37">
        <v>14.0</v>
      </c>
      <c r="N9" s="37">
        <v>39.0</v>
      </c>
      <c r="O9" s="37">
        <v>18.0</v>
      </c>
      <c r="P9" s="37">
        <v>6.0</v>
      </c>
      <c r="Q9" s="37">
        <v>7.0</v>
      </c>
      <c r="R9" s="37">
        <v>7.0</v>
      </c>
      <c r="S9" s="37">
        <v>1.0</v>
      </c>
      <c r="T9" s="37">
        <v>2.0</v>
      </c>
      <c r="U9" s="37">
        <v>0.0</v>
      </c>
      <c r="V9" s="37">
        <v>3.0</v>
      </c>
      <c r="W9" s="37">
        <f t="shared" ref="W9:X9" si="21">PRODUCT(U9,3)</f>
        <v>0</v>
      </c>
      <c r="X9" s="37">
        <f t="shared" si="21"/>
        <v>9</v>
      </c>
      <c r="Y9" s="37">
        <f t="shared" ref="Y9:Z9" si="22">SUM(W9,AA9)</f>
        <v>2</v>
      </c>
      <c r="Z9" s="37">
        <f t="shared" si="22"/>
        <v>13</v>
      </c>
      <c r="AA9" s="37">
        <f t="shared" ref="AA9:AB9" si="23">PRODUCT(S9,2)</f>
        <v>2</v>
      </c>
      <c r="AB9" s="37">
        <f t="shared" si="23"/>
        <v>4</v>
      </c>
      <c r="AC9" s="37">
        <v>71.0</v>
      </c>
    </row>
    <row r="10" ht="17.25" customHeight="1">
      <c r="A10" s="219" t="s">
        <v>26</v>
      </c>
      <c r="B10" s="35">
        <v>12.0</v>
      </c>
      <c r="C10" s="35">
        <v>13.0</v>
      </c>
      <c r="D10" s="35">
        <v>5.0</v>
      </c>
      <c r="E10" s="35">
        <f t="shared" si="4"/>
        <v>18</v>
      </c>
      <c r="F10" s="220">
        <f t="shared" si="5"/>
        <v>0.7222222222</v>
      </c>
      <c r="G10" s="35">
        <v>5.0</v>
      </c>
      <c r="H10" s="35">
        <v>5.0</v>
      </c>
      <c r="I10" s="35">
        <v>0.0</v>
      </c>
      <c r="J10" s="35">
        <v>0.0</v>
      </c>
      <c r="K10" s="35">
        <v>0.0</v>
      </c>
      <c r="L10" s="35">
        <v>0.0</v>
      </c>
      <c r="M10" s="35">
        <v>9.0</v>
      </c>
      <c r="N10" s="35">
        <v>7.0</v>
      </c>
      <c r="O10" s="35">
        <v>3.0</v>
      </c>
      <c r="P10" s="35">
        <v>5.0</v>
      </c>
      <c r="Q10" s="35">
        <v>2.0</v>
      </c>
      <c r="R10" s="35">
        <v>2.0</v>
      </c>
      <c r="S10" s="35">
        <v>1.0</v>
      </c>
      <c r="T10" s="35">
        <v>3.0</v>
      </c>
      <c r="U10" s="35">
        <v>2.0</v>
      </c>
      <c r="V10" s="35">
        <v>0.0</v>
      </c>
      <c r="W10" s="35">
        <f t="shared" ref="W10:X10" si="24">PRODUCT(U10,3)</f>
        <v>6</v>
      </c>
      <c r="X10" s="35">
        <f t="shared" si="24"/>
        <v>0</v>
      </c>
      <c r="Y10" s="35">
        <f t="shared" ref="Y10:Z10" si="25">SUM(W10,AA10)</f>
        <v>8</v>
      </c>
      <c r="Z10" s="35">
        <f t="shared" si="25"/>
        <v>6</v>
      </c>
      <c r="AA10" s="35">
        <f t="shared" ref="AA10:AB10" si="26">PRODUCT(S10,2)</f>
        <v>2</v>
      </c>
      <c r="AB10" s="35">
        <f t="shared" si="26"/>
        <v>6</v>
      </c>
      <c r="AC10" s="35">
        <v>45.0</v>
      </c>
    </row>
    <row r="11" ht="17.25" customHeight="1">
      <c r="A11" s="217" t="s">
        <v>15</v>
      </c>
      <c r="B11" s="37">
        <v>12.0</v>
      </c>
      <c r="C11" s="37">
        <v>35.0</v>
      </c>
      <c r="D11" s="37">
        <v>6.0</v>
      </c>
      <c r="E11" s="37">
        <f t="shared" si="4"/>
        <v>41</v>
      </c>
      <c r="F11" s="218">
        <f t="shared" si="5"/>
        <v>0.8536585366</v>
      </c>
      <c r="G11" s="37">
        <v>24.0</v>
      </c>
      <c r="H11" s="37">
        <v>4.0</v>
      </c>
      <c r="I11" s="37">
        <v>0.0</v>
      </c>
      <c r="J11" s="37">
        <v>0.0</v>
      </c>
      <c r="K11" s="37">
        <v>4.0</v>
      </c>
      <c r="L11" s="37">
        <v>0.0</v>
      </c>
      <c r="M11" s="37">
        <v>44.0</v>
      </c>
      <c r="N11" s="37">
        <v>9.0</v>
      </c>
      <c r="O11" s="37">
        <v>6.0</v>
      </c>
      <c r="P11" s="37">
        <v>12.0</v>
      </c>
      <c r="Q11" s="37">
        <v>11.0</v>
      </c>
      <c r="R11" s="37">
        <v>3.0</v>
      </c>
      <c r="S11" s="37">
        <v>8.0</v>
      </c>
      <c r="T11" s="37">
        <v>0.0</v>
      </c>
      <c r="U11" s="37">
        <v>11.0</v>
      </c>
      <c r="V11" s="37">
        <v>4.0</v>
      </c>
      <c r="W11" s="37">
        <f t="shared" ref="W11:X11" si="27">PRODUCT(U11,3)</f>
        <v>33</v>
      </c>
      <c r="X11" s="37">
        <f t="shared" si="27"/>
        <v>12</v>
      </c>
      <c r="Y11" s="37">
        <f t="shared" ref="Y11:Z11" si="28">SUM(W11,AA11)</f>
        <v>49</v>
      </c>
      <c r="Z11" s="37">
        <f t="shared" si="28"/>
        <v>12</v>
      </c>
      <c r="AA11" s="37">
        <f t="shared" ref="AA11:AB11" si="29">PRODUCT(S11,2)</f>
        <v>16</v>
      </c>
      <c r="AB11" s="37">
        <f t="shared" si="29"/>
        <v>0</v>
      </c>
      <c r="AC11" s="37">
        <v>197.0</v>
      </c>
    </row>
    <row r="12" ht="17.25" customHeight="1">
      <c r="A12" s="219" t="s">
        <v>104</v>
      </c>
      <c r="B12" s="35">
        <v>9.0</v>
      </c>
      <c r="C12" s="35">
        <v>7.0</v>
      </c>
      <c r="D12" s="35">
        <v>19.0</v>
      </c>
      <c r="E12" s="35">
        <f t="shared" si="4"/>
        <v>26</v>
      </c>
      <c r="F12" s="220">
        <f t="shared" si="5"/>
        <v>0.2692307692</v>
      </c>
      <c r="G12" s="35">
        <v>2.0</v>
      </c>
      <c r="H12" s="35">
        <v>17.0</v>
      </c>
      <c r="I12" s="35">
        <v>0.0</v>
      </c>
      <c r="J12" s="35">
        <v>0.0</v>
      </c>
      <c r="K12" s="35">
        <v>0.0</v>
      </c>
      <c r="L12" s="35">
        <v>2.0</v>
      </c>
      <c r="M12" s="35">
        <v>3.0</v>
      </c>
      <c r="N12" s="35">
        <v>23.0</v>
      </c>
      <c r="O12" s="35">
        <v>1.0</v>
      </c>
      <c r="P12" s="35">
        <v>2.0</v>
      </c>
      <c r="Q12" s="35">
        <v>4.0</v>
      </c>
      <c r="R12" s="35">
        <v>8.0</v>
      </c>
      <c r="S12" s="35">
        <v>2.0</v>
      </c>
      <c r="T12" s="35">
        <v>9.0</v>
      </c>
      <c r="U12" s="35">
        <v>0.0</v>
      </c>
      <c r="V12" s="35">
        <v>6.0</v>
      </c>
      <c r="W12" s="35">
        <f t="shared" ref="W12:X12" si="30">PRODUCT(U12,3)</f>
        <v>0</v>
      </c>
      <c r="X12" s="35">
        <f t="shared" si="30"/>
        <v>18</v>
      </c>
      <c r="Y12" s="35">
        <f t="shared" ref="Y12:Z12" si="31">SUM(W12,AA12)</f>
        <v>4</v>
      </c>
      <c r="Z12" s="35">
        <f t="shared" si="31"/>
        <v>36</v>
      </c>
      <c r="AA12" s="35">
        <f t="shared" ref="AA12:AB12" si="32">PRODUCT(S12,2)</f>
        <v>4</v>
      </c>
      <c r="AB12" s="35">
        <f t="shared" si="32"/>
        <v>18</v>
      </c>
      <c r="AC12" s="35">
        <v>12.0</v>
      </c>
    </row>
    <row r="13" ht="17.25" customHeight="1">
      <c r="A13" s="217" t="s">
        <v>7</v>
      </c>
      <c r="B13" s="37">
        <v>10.0</v>
      </c>
      <c r="C13" s="37">
        <v>16.0</v>
      </c>
      <c r="D13" s="37">
        <v>12.0</v>
      </c>
      <c r="E13" s="37">
        <f t="shared" si="4"/>
        <v>28</v>
      </c>
      <c r="F13" s="218">
        <f t="shared" si="5"/>
        <v>0.5714285714</v>
      </c>
      <c r="G13" s="37">
        <v>9.0</v>
      </c>
      <c r="H13" s="37">
        <v>10.0</v>
      </c>
      <c r="I13" s="37">
        <v>0.0</v>
      </c>
      <c r="J13" s="37">
        <v>0.0</v>
      </c>
      <c r="K13" s="37">
        <v>0.0</v>
      </c>
      <c r="L13" s="37">
        <v>0.0</v>
      </c>
      <c r="M13" s="37">
        <v>8.0</v>
      </c>
      <c r="N13" s="37">
        <v>31.0</v>
      </c>
      <c r="O13" s="37">
        <v>4.0</v>
      </c>
      <c r="P13" s="37">
        <v>9.0</v>
      </c>
      <c r="Q13" s="37">
        <v>11.0</v>
      </c>
      <c r="R13" s="37">
        <v>6.0</v>
      </c>
      <c r="S13" s="37">
        <v>4.0</v>
      </c>
      <c r="T13" s="37">
        <v>3.0</v>
      </c>
      <c r="U13" s="37">
        <v>1.0</v>
      </c>
      <c r="V13" s="37">
        <v>4.0</v>
      </c>
      <c r="W13" s="37">
        <f t="shared" ref="W13:X13" si="33">PRODUCT(U13,3)</f>
        <v>3</v>
      </c>
      <c r="X13" s="37">
        <f t="shared" si="33"/>
        <v>12</v>
      </c>
      <c r="Y13" s="37">
        <f t="shared" ref="Y13:Z13" si="34">SUM(W13,AA13)</f>
        <v>11</v>
      </c>
      <c r="Z13" s="37">
        <f t="shared" si="34"/>
        <v>18</v>
      </c>
      <c r="AA13" s="37">
        <f t="shared" ref="AA13:AB13" si="35">PRODUCT(S13,2)</f>
        <v>8</v>
      </c>
      <c r="AB13" s="37">
        <f t="shared" si="35"/>
        <v>6</v>
      </c>
      <c r="AC13" s="37">
        <v>37.0</v>
      </c>
    </row>
    <row r="14" ht="17.25" customHeight="1">
      <c r="A14" s="219" t="s">
        <v>25</v>
      </c>
      <c r="B14" s="35">
        <v>12.0</v>
      </c>
      <c r="C14" s="35">
        <v>8.0</v>
      </c>
      <c r="D14" s="35">
        <v>10.0</v>
      </c>
      <c r="E14" s="35">
        <f t="shared" si="4"/>
        <v>18</v>
      </c>
      <c r="F14" s="220">
        <f t="shared" si="5"/>
        <v>0.4444444444</v>
      </c>
      <c r="G14" s="35">
        <v>3.0</v>
      </c>
      <c r="H14" s="35">
        <v>8.0</v>
      </c>
      <c r="I14" s="35">
        <v>0.0</v>
      </c>
      <c r="J14" s="35">
        <v>0.0</v>
      </c>
      <c r="K14" s="35">
        <v>0.0</v>
      </c>
      <c r="L14" s="35">
        <v>2.0</v>
      </c>
      <c r="M14" s="35">
        <v>10.0</v>
      </c>
      <c r="N14" s="35">
        <v>17.0</v>
      </c>
      <c r="O14" s="35">
        <v>9.0</v>
      </c>
      <c r="P14" s="35">
        <v>4.0</v>
      </c>
      <c r="Q14" s="35">
        <v>2.0</v>
      </c>
      <c r="R14" s="35">
        <v>5.0</v>
      </c>
      <c r="S14" s="35">
        <v>1.0</v>
      </c>
      <c r="T14" s="35">
        <v>7.0</v>
      </c>
      <c r="U14" s="35">
        <v>3.0</v>
      </c>
      <c r="V14" s="35">
        <v>5.0</v>
      </c>
      <c r="W14" s="35">
        <f t="shared" ref="W14:X14" si="36">PRODUCT(U14,3)</f>
        <v>9</v>
      </c>
      <c r="X14" s="35">
        <f t="shared" si="36"/>
        <v>15</v>
      </c>
      <c r="Y14" s="35">
        <f t="shared" ref="Y14:Z14" si="37">SUM(W14,AA14)</f>
        <v>11</v>
      </c>
      <c r="Z14" s="35">
        <f t="shared" si="37"/>
        <v>29</v>
      </c>
      <c r="AA14" s="35">
        <f t="shared" ref="AA14:AB14" si="38">PRODUCT(S14,2)</f>
        <v>2</v>
      </c>
      <c r="AB14" s="35">
        <f t="shared" si="38"/>
        <v>14</v>
      </c>
      <c r="AC14" s="35">
        <v>18.0</v>
      </c>
    </row>
    <row r="15" ht="17.25" customHeight="1">
      <c r="A15" s="217" t="s">
        <v>110</v>
      </c>
      <c r="B15" s="37">
        <v>10.0</v>
      </c>
      <c r="C15" s="37">
        <v>14.0</v>
      </c>
      <c r="D15" s="37">
        <v>5.0</v>
      </c>
      <c r="E15" s="37">
        <f t="shared" si="4"/>
        <v>19</v>
      </c>
      <c r="F15" s="218">
        <f t="shared" si="5"/>
        <v>0.7368421053</v>
      </c>
      <c r="G15" s="37">
        <v>8.0</v>
      </c>
      <c r="H15" s="37">
        <v>4.0</v>
      </c>
      <c r="I15" s="37">
        <v>0.0</v>
      </c>
      <c r="J15" s="37">
        <v>0.0</v>
      </c>
      <c r="K15" s="37">
        <v>0.0</v>
      </c>
      <c r="L15" s="37">
        <v>0.0</v>
      </c>
      <c r="M15" s="37">
        <v>13.0</v>
      </c>
      <c r="N15" s="37">
        <v>14.0</v>
      </c>
      <c r="O15" s="37">
        <v>8.0</v>
      </c>
      <c r="P15" s="37">
        <v>2.0</v>
      </c>
      <c r="Q15" s="37">
        <v>2.0</v>
      </c>
      <c r="R15" s="37">
        <v>3.0</v>
      </c>
      <c r="S15" s="37">
        <v>0.0</v>
      </c>
      <c r="T15" s="37">
        <v>0.0</v>
      </c>
      <c r="U15" s="37">
        <v>4.0</v>
      </c>
      <c r="V15" s="37">
        <v>0.0</v>
      </c>
      <c r="W15" s="37">
        <f t="shared" ref="W15:X15" si="39">PRODUCT(U15,3)</f>
        <v>12</v>
      </c>
      <c r="X15" s="37">
        <f t="shared" si="39"/>
        <v>0</v>
      </c>
      <c r="Y15" s="37">
        <f t="shared" ref="Y15:Z15" si="40">SUM(W15,AA15)</f>
        <v>12</v>
      </c>
      <c r="Z15" s="37">
        <f t="shared" si="40"/>
        <v>0</v>
      </c>
      <c r="AA15" s="37">
        <f t="shared" ref="AA15:AB15" si="41">PRODUCT(S15,2)</f>
        <v>0</v>
      </c>
      <c r="AB15" s="37">
        <f t="shared" si="41"/>
        <v>0</v>
      </c>
      <c r="AC15" s="37">
        <v>44.0</v>
      </c>
    </row>
    <row r="16" ht="17.25" customHeight="1">
      <c r="A16" s="219" t="s">
        <v>113</v>
      </c>
      <c r="B16" s="35">
        <v>9.0</v>
      </c>
      <c r="C16" s="35">
        <v>6.0</v>
      </c>
      <c r="D16" s="35">
        <v>9.0</v>
      </c>
      <c r="E16" s="35">
        <f t="shared" si="4"/>
        <v>15</v>
      </c>
      <c r="F16" s="220">
        <f t="shared" si="5"/>
        <v>0.4</v>
      </c>
      <c r="G16" s="35">
        <v>5.0</v>
      </c>
      <c r="H16" s="35">
        <v>8.0</v>
      </c>
      <c r="I16" s="35">
        <v>0.0</v>
      </c>
      <c r="J16" s="35">
        <v>0.0</v>
      </c>
      <c r="K16" s="35">
        <v>0.0</v>
      </c>
      <c r="L16" s="35">
        <v>0.0</v>
      </c>
      <c r="M16" s="35">
        <v>9.0</v>
      </c>
      <c r="N16" s="35">
        <v>19.0</v>
      </c>
      <c r="O16" s="35">
        <v>13.0</v>
      </c>
      <c r="P16" s="35">
        <v>2.0</v>
      </c>
      <c r="Q16" s="35">
        <v>2.0</v>
      </c>
      <c r="R16" s="35">
        <v>2.0</v>
      </c>
      <c r="S16" s="35">
        <v>0.0</v>
      </c>
      <c r="T16" s="35">
        <v>3.0</v>
      </c>
      <c r="U16" s="35">
        <v>0.0</v>
      </c>
      <c r="V16" s="35">
        <v>2.0</v>
      </c>
      <c r="W16" s="35">
        <f t="shared" ref="W16:X16" si="42">PRODUCT(U16,3)</f>
        <v>0</v>
      </c>
      <c r="X16" s="35">
        <f t="shared" si="42"/>
        <v>6</v>
      </c>
      <c r="Y16" s="35">
        <f t="shared" ref="Y16:Z16" si="43">SUM(W16,AA16)</f>
        <v>0</v>
      </c>
      <c r="Z16" s="35">
        <f t="shared" si="43"/>
        <v>12</v>
      </c>
      <c r="AA16" s="35">
        <f t="shared" ref="AA16:AB16" si="44">PRODUCT(S16,2)</f>
        <v>0</v>
      </c>
      <c r="AB16" s="35">
        <f t="shared" si="44"/>
        <v>6</v>
      </c>
      <c r="AC16" s="35">
        <v>23.0</v>
      </c>
    </row>
    <row r="17" ht="17.25" customHeight="1">
      <c r="A17" s="217" t="s">
        <v>5</v>
      </c>
      <c r="B17" s="37">
        <v>11.0</v>
      </c>
      <c r="C17" s="37">
        <v>17.0</v>
      </c>
      <c r="D17" s="37">
        <v>15.0</v>
      </c>
      <c r="E17" s="37">
        <f t="shared" si="4"/>
        <v>32</v>
      </c>
      <c r="F17" s="218">
        <f t="shared" si="5"/>
        <v>0.53125</v>
      </c>
      <c r="G17" s="37">
        <v>10.0</v>
      </c>
      <c r="H17" s="37">
        <v>12.0</v>
      </c>
      <c r="I17" s="37">
        <v>0.0</v>
      </c>
      <c r="J17" s="37">
        <v>0.0</v>
      </c>
      <c r="K17" s="37">
        <v>0.0</v>
      </c>
      <c r="L17" s="37">
        <v>0.0</v>
      </c>
      <c r="M17" s="37">
        <v>19.0</v>
      </c>
      <c r="N17" s="37">
        <v>42.0</v>
      </c>
      <c r="O17" s="37">
        <v>18.0</v>
      </c>
      <c r="P17" s="37">
        <v>14.0</v>
      </c>
      <c r="Q17" s="37">
        <v>9.0</v>
      </c>
      <c r="R17" s="37">
        <v>9.0</v>
      </c>
      <c r="S17" s="37">
        <v>4.0</v>
      </c>
      <c r="T17" s="37">
        <v>3.0</v>
      </c>
      <c r="U17" s="37">
        <v>2.0</v>
      </c>
      <c r="V17" s="37">
        <v>8.0</v>
      </c>
      <c r="W17" s="37">
        <f t="shared" ref="W17:X17" si="45">PRODUCT(U17,3)</f>
        <v>6</v>
      </c>
      <c r="X17" s="37">
        <f t="shared" si="45"/>
        <v>24</v>
      </c>
      <c r="Y17" s="37">
        <f t="shared" ref="Y17:Z17" si="46">SUM(W17,AA17)</f>
        <v>14</v>
      </c>
      <c r="Z17" s="37">
        <f t="shared" si="46"/>
        <v>30</v>
      </c>
      <c r="AA17" s="37">
        <f t="shared" ref="AA17:AB17" si="47">PRODUCT(S17,2)</f>
        <v>8</v>
      </c>
      <c r="AB17" s="37">
        <f t="shared" si="47"/>
        <v>6</v>
      </c>
      <c r="AC17" s="37">
        <v>99.0</v>
      </c>
    </row>
    <row r="18" ht="17.25" customHeight="1">
      <c r="A18" s="219" t="s">
        <v>18</v>
      </c>
      <c r="B18" s="35">
        <v>10.0</v>
      </c>
      <c r="C18" s="35">
        <v>12.0</v>
      </c>
      <c r="D18" s="35">
        <v>10.0</v>
      </c>
      <c r="E18" s="35">
        <f t="shared" si="4"/>
        <v>22</v>
      </c>
      <c r="F18" s="220">
        <f t="shared" si="5"/>
        <v>0.5454545455</v>
      </c>
      <c r="G18" s="35">
        <v>7.0</v>
      </c>
      <c r="H18" s="35">
        <v>10.0</v>
      </c>
      <c r="I18" s="35">
        <v>0.0</v>
      </c>
      <c r="J18" s="35">
        <v>0.0</v>
      </c>
      <c r="K18" s="35">
        <v>0.0</v>
      </c>
      <c r="L18" s="35">
        <v>0.0</v>
      </c>
      <c r="M18" s="35">
        <v>12.0</v>
      </c>
      <c r="N18" s="35">
        <v>15.0</v>
      </c>
      <c r="O18" s="35">
        <v>5.0</v>
      </c>
      <c r="P18" s="35">
        <v>5.0</v>
      </c>
      <c r="Q18" s="35">
        <v>4.0</v>
      </c>
      <c r="R18" s="35">
        <v>2.0</v>
      </c>
      <c r="S18" s="35">
        <v>4.0</v>
      </c>
      <c r="T18" s="35">
        <v>2.0</v>
      </c>
      <c r="U18" s="35">
        <v>0.0</v>
      </c>
      <c r="V18" s="35">
        <v>3.0</v>
      </c>
      <c r="W18" s="35">
        <f t="shared" ref="W18:X18" si="48">PRODUCT(U18,3)</f>
        <v>0</v>
      </c>
      <c r="X18" s="35">
        <f t="shared" si="48"/>
        <v>9</v>
      </c>
      <c r="Y18" s="35">
        <f t="shared" ref="Y18:Z18" si="49">SUM(W18,AA18)</f>
        <v>8</v>
      </c>
      <c r="Z18" s="35">
        <f t="shared" si="49"/>
        <v>13</v>
      </c>
      <c r="AA18" s="35">
        <f t="shared" ref="AA18:AB18" si="50">PRODUCT(S18,2)</f>
        <v>8</v>
      </c>
      <c r="AB18" s="35">
        <f t="shared" si="50"/>
        <v>4</v>
      </c>
      <c r="AC18" s="35">
        <v>45.0</v>
      </c>
    </row>
    <row r="19" ht="17.25" customHeight="1">
      <c r="A19" s="217" t="s">
        <v>129</v>
      </c>
      <c r="B19" s="37">
        <v>11.0</v>
      </c>
      <c r="C19" s="37">
        <v>0.0</v>
      </c>
      <c r="D19" s="37">
        <v>2.0</v>
      </c>
      <c r="E19" s="37">
        <f t="shared" si="4"/>
        <v>2</v>
      </c>
      <c r="F19" s="218">
        <f t="shared" si="5"/>
        <v>0</v>
      </c>
      <c r="G19" s="37">
        <v>0.0</v>
      </c>
      <c r="H19" s="37">
        <v>2.0</v>
      </c>
      <c r="I19" s="37">
        <v>0.0</v>
      </c>
      <c r="J19" s="37">
        <v>0.0</v>
      </c>
      <c r="K19" s="37">
        <v>0.0</v>
      </c>
      <c r="L19" s="37">
        <v>0.0</v>
      </c>
      <c r="M19" s="37">
        <v>2.0</v>
      </c>
      <c r="N19" s="37">
        <v>2.0</v>
      </c>
      <c r="O19" s="37">
        <v>0.0</v>
      </c>
      <c r="P19" s="37">
        <v>2.0</v>
      </c>
      <c r="Q19" s="37">
        <v>0.0</v>
      </c>
      <c r="R19" s="37">
        <v>0.0</v>
      </c>
      <c r="S19" s="37">
        <v>1.0</v>
      </c>
      <c r="T19" s="37">
        <v>0.0</v>
      </c>
      <c r="U19" s="37">
        <v>0.0</v>
      </c>
      <c r="V19" s="37">
        <v>0.0</v>
      </c>
      <c r="W19" s="37">
        <f t="shared" ref="W19:X19" si="51">PRODUCT(U19,3)</f>
        <v>0</v>
      </c>
      <c r="X19" s="37">
        <f t="shared" si="51"/>
        <v>0</v>
      </c>
      <c r="Y19" s="37">
        <f t="shared" ref="Y19:Z19" si="52">SUM(W19,AA19)</f>
        <v>2</v>
      </c>
      <c r="Z19" s="37">
        <f t="shared" si="52"/>
        <v>0</v>
      </c>
      <c r="AA19" s="37">
        <f t="shared" ref="AA19:AB19" si="53">PRODUCT(S19,2)</f>
        <v>2</v>
      </c>
      <c r="AB19" s="37">
        <f t="shared" si="53"/>
        <v>0</v>
      </c>
      <c r="AC19" s="37">
        <v>0.0</v>
      </c>
    </row>
    <row r="20" ht="17.25" customHeight="1">
      <c r="A20" s="219" t="s">
        <v>131</v>
      </c>
      <c r="B20" s="35">
        <v>11.0</v>
      </c>
      <c r="C20" s="35">
        <v>3.0</v>
      </c>
      <c r="D20" s="35">
        <v>2.0</v>
      </c>
      <c r="E20" s="35">
        <f t="shared" si="4"/>
        <v>5</v>
      </c>
      <c r="F20" s="220">
        <f t="shared" si="5"/>
        <v>0.6</v>
      </c>
      <c r="G20" s="35">
        <v>1.0</v>
      </c>
      <c r="H20" s="35">
        <v>2.0</v>
      </c>
      <c r="I20" s="35">
        <v>0.0</v>
      </c>
      <c r="J20" s="35">
        <v>0.0</v>
      </c>
      <c r="K20" s="35">
        <v>0.0</v>
      </c>
      <c r="L20" s="35">
        <v>0.0</v>
      </c>
      <c r="M20" s="35">
        <v>2.0</v>
      </c>
      <c r="N20" s="35">
        <v>4.0</v>
      </c>
      <c r="O20" s="35">
        <v>1.0</v>
      </c>
      <c r="P20" s="35">
        <v>4.0</v>
      </c>
      <c r="Q20" s="35">
        <v>2.0</v>
      </c>
      <c r="R20" s="35">
        <v>1.0</v>
      </c>
      <c r="S20" s="35">
        <v>0.0</v>
      </c>
      <c r="T20" s="35">
        <v>3.0</v>
      </c>
      <c r="U20" s="35">
        <v>0.0</v>
      </c>
      <c r="V20" s="35">
        <v>2.0</v>
      </c>
      <c r="W20" s="35">
        <f t="shared" ref="W20:X20" si="54">PRODUCT(U20,3)</f>
        <v>0</v>
      </c>
      <c r="X20" s="35">
        <f t="shared" si="54"/>
        <v>6</v>
      </c>
      <c r="Y20" s="35">
        <f t="shared" ref="Y20:Z20" si="55">SUM(W20,AA20)</f>
        <v>0</v>
      </c>
      <c r="Z20" s="35">
        <f t="shared" si="55"/>
        <v>12</v>
      </c>
      <c r="AA20" s="35">
        <f t="shared" ref="AA20:AB20" si="56">PRODUCT(S20,2)</f>
        <v>0</v>
      </c>
      <c r="AB20" s="35">
        <f t="shared" si="56"/>
        <v>6</v>
      </c>
      <c r="AC20" s="35">
        <v>0.0</v>
      </c>
    </row>
    <row r="21" ht="17.25" customHeight="1">
      <c r="A21" s="217" t="s">
        <v>134</v>
      </c>
      <c r="B21" s="37">
        <v>11.0</v>
      </c>
      <c r="C21" s="37">
        <v>7.0</v>
      </c>
      <c r="D21" s="37">
        <v>9.0</v>
      </c>
      <c r="E21" s="37">
        <f t="shared" si="4"/>
        <v>16</v>
      </c>
      <c r="F21" s="218">
        <f t="shared" si="5"/>
        <v>0.4375</v>
      </c>
      <c r="G21" s="37">
        <v>4.0</v>
      </c>
      <c r="H21" s="37">
        <v>8.0</v>
      </c>
      <c r="I21" s="37">
        <v>0.0</v>
      </c>
      <c r="J21" s="37">
        <v>0.0</v>
      </c>
      <c r="K21" s="37">
        <v>0.0</v>
      </c>
      <c r="L21" s="37">
        <v>1.0</v>
      </c>
      <c r="M21" s="37">
        <v>10.0</v>
      </c>
      <c r="N21" s="37">
        <v>14.0</v>
      </c>
      <c r="O21" s="37">
        <v>6.0</v>
      </c>
      <c r="P21" s="37">
        <v>4.0</v>
      </c>
      <c r="Q21" s="37">
        <v>3.0</v>
      </c>
      <c r="R21" s="37">
        <v>2.0</v>
      </c>
      <c r="S21" s="37">
        <v>4.0</v>
      </c>
      <c r="T21" s="37">
        <v>2.0</v>
      </c>
      <c r="U21" s="37">
        <v>1.0</v>
      </c>
      <c r="V21" s="37">
        <v>4.0</v>
      </c>
      <c r="W21" s="37">
        <f t="shared" ref="W21:X21" si="57">PRODUCT(U21,3)</f>
        <v>3</v>
      </c>
      <c r="X21" s="37">
        <f t="shared" si="57"/>
        <v>12</v>
      </c>
      <c r="Y21" s="37">
        <f t="shared" ref="Y21:Z21" si="58">SUM(W21,AA21)</f>
        <v>11</v>
      </c>
      <c r="Z21" s="37">
        <f t="shared" si="58"/>
        <v>16</v>
      </c>
      <c r="AA21" s="37">
        <f t="shared" ref="AA21:AB21" si="59">PRODUCT(S21,2)</f>
        <v>8</v>
      </c>
      <c r="AB21" s="37">
        <f t="shared" si="59"/>
        <v>4</v>
      </c>
      <c r="AC21" s="37">
        <v>6.0</v>
      </c>
    </row>
    <row r="22" ht="17.25" customHeight="1">
      <c r="A22" s="219" t="s">
        <v>12</v>
      </c>
      <c r="B22" s="35">
        <v>12.0</v>
      </c>
      <c r="C22" s="35">
        <v>34.0</v>
      </c>
      <c r="D22" s="35">
        <v>8.0</v>
      </c>
      <c r="E22" s="35">
        <f t="shared" si="4"/>
        <v>42</v>
      </c>
      <c r="F22" s="220">
        <f t="shared" si="5"/>
        <v>0.8095238095</v>
      </c>
      <c r="G22" s="35">
        <v>24.0</v>
      </c>
      <c r="H22" s="35">
        <v>4.0</v>
      </c>
      <c r="I22" s="35">
        <v>0.0</v>
      </c>
      <c r="J22" s="35">
        <v>0.0</v>
      </c>
      <c r="K22" s="35">
        <v>1.0</v>
      </c>
      <c r="L22" s="35">
        <v>2.0</v>
      </c>
      <c r="M22" s="35">
        <v>29.0</v>
      </c>
      <c r="N22" s="35">
        <v>25.0</v>
      </c>
      <c r="O22" s="35">
        <v>12.0</v>
      </c>
      <c r="P22" s="35">
        <v>6.0</v>
      </c>
      <c r="Q22" s="35">
        <v>4.0</v>
      </c>
      <c r="R22" s="35">
        <v>5.0</v>
      </c>
      <c r="S22" s="35">
        <v>3.0</v>
      </c>
      <c r="T22" s="35">
        <v>2.0</v>
      </c>
      <c r="U22" s="35">
        <v>5.0</v>
      </c>
      <c r="V22" s="35">
        <v>2.0</v>
      </c>
      <c r="W22" s="35">
        <f t="shared" ref="W22:X22" si="60">PRODUCT(U22,3)</f>
        <v>15</v>
      </c>
      <c r="X22" s="35">
        <f t="shared" si="60"/>
        <v>6</v>
      </c>
      <c r="Y22" s="35">
        <f t="shared" ref="Y22:Z22" si="61">SUM(W22,AA22)</f>
        <v>21</v>
      </c>
      <c r="Z22" s="35">
        <f t="shared" si="61"/>
        <v>10</v>
      </c>
      <c r="AA22" s="35">
        <f t="shared" ref="AA22:AB22" si="62">PRODUCT(S22,2)</f>
        <v>6</v>
      </c>
      <c r="AB22" s="35">
        <f t="shared" si="62"/>
        <v>4</v>
      </c>
      <c r="AC22" s="35">
        <v>148.0</v>
      </c>
    </row>
    <row r="23" ht="17.25" customHeight="1">
      <c r="A23" s="217" t="s">
        <v>138</v>
      </c>
      <c r="B23" s="37">
        <v>10.0</v>
      </c>
      <c r="C23" s="37">
        <v>3.0</v>
      </c>
      <c r="D23" s="37">
        <v>4.0</v>
      </c>
      <c r="E23" s="37">
        <f t="shared" si="4"/>
        <v>7</v>
      </c>
      <c r="F23" s="218">
        <f t="shared" si="5"/>
        <v>0.4285714286</v>
      </c>
      <c r="G23" s="37">
        <v>1.0</v>
      </c>
      <c r="H23" s="37">
        <v>4.0</v>
      </c>
      <c r="I23" s="37">
        <v>0.0</v>
      </c>
      <c r="J23" s="37">
        <v>0.0</v>
      </c>
      <c r="K23" s="37">
        <v>0.0</v>
      </c>
      <c r="L23" s="37">
        <v>0.0</v>
      </c>
      <c r="M23" s="37">
        <v>4.0</v>
      </c>
      <c r="N23" s="37">
        <v>4.0</v>
      </c>
      <c r="O23" s="37">
        <v>2.0</v>
      </c>
      <c r="P23" s="37">
        <v>1.0</v>
      </c>
      <c r="Q23" s="37">
        <v>0.0</v>
      </c>
      <c r="R23" s="37">
        <v>2.0</v>
      </c>
      <c r="S23" s="37">
        <v>0.0</v>
      </c>
      <c r="T23" s="37">
        <v>1.0</v>
      </c>
      <c r="U23" s="37">
        <v>0.0</v>
      </c>
      <c r="V23" s="37">
        <v>4.0</v>
      </c>
      <c r="W23" s="37">
        <f t="shared" ref="W23:X23" si="63">PRODUCT(U23,3)</f>
        <v>0</v>
      </c>
      <c r="X23" s="37">
        <f t="shared" si="63"/>
        <v>12</v>
      </c>
      <c r="Y23" s="37">
        <f t="shared" ref="Y23:Z23" si="64">SUM(W23,AA23)</f>
        <v>0</v>
      </c>
      <c r="Z23" s="37">
        <f t="shared" si="64"/>
        <v>14</v>
      </c>
      <c r="AA23" s="37">
        <f t="shared" ref="AA23:AB23" si="65">PRODUCT(S23,2)</f>
        <v>0</v>
      </c>
      <c r="AB23" s="37">
        <f t="shared" si="65"/>
        <v>2</v>
      </c>
      <c r="AC23" s="37">
        <v>10.0</v>
      </c>
    </row>
    <row r="24" ht="17.25" customHeight="1">
      <c r="A24" s="33" t="s">
        <v>152</v>
      </c>
      <c r="B24" s="9"/>
      <c r="C24" s="216">
        <v>291.0</v>
      </c>
      <c r="D24" s="216">
        <v>202.0</v>
      </c>
      <c r="E24" s="216">
        <f t="shared" si="4"/>
        <v>493</v>
      </c>
      <c r="F24" s="221">
        <f t="shared" si="5"/>
        <v>0.5902636917</v>
      </c>
      <c r="G24" s="216">
        <f t="shared" ref="G24:AC24" si="66">SUM(G3:G23)</f>
        <v>182</v>
      </c>
      <c r="H24" s="216">
        <f t="shared" si="66"/>
        <v>165</v>
      </c>
      <c r="I24" s="216">
        <f t="shared" si="66"/>
        <v>0</v>
      </c>
      <c r="J24" s="216">
        <f t="shared" si="66"/>
        <v>0</v>
      </c>
      <c r="K24" s="216">
        <f t="shared" si="66"/>
        <v>7</v>
      </c>
      <c r="L24" s="216">
        <f t="shared" si="66"/>
        <v>12</v>
      </c>
      <c r="M24" s="216">
        <f t="shared" si="66"/>
        <v>321</v>
      </c>
      <c r="N24" s="216">
        <f t="shared" si="66"/>
        <v>356</v>
      </c>
      <c r="O24" s="216">
        <f t="shared" si="66"/>
        <v>135</v>
      </c>
      <c r="P24" s="216">
        <f t="shared" si="66"/>
        <v>117</v>
      </c>
      <c r="Q24" s="216">
        <f t="shared" si="66"/>
        <v>88</v>
      </c>
      <c r="R24" s="216">
        <f t="shared" si="66"/>
        <v>83</v>
      </c>
      <c r="S24" s="216">
        <f t="shared" si="66"/>
        <v>51</v>
      </c>
      <c r="T24" s="216">
        <f t="shared" si="66"/>
        <v>54</v>
      </c>
      <c r="U24" s="216">
        <f t="shared" si="66"/>
        <v>51</v>
      </c>
      <c r="V24" s="216">
        <f t="shared" si="66"/>
        <v>67</v>
      </c>
      <c r="W24" s="216">
        <f t="shared" si="66"/>
        <v>153</v>
      </c>
      <c r="X24" s="216">
        <f t="shared" si="66"/>
        <v>201</v>
      </c>
      <c r="Y24" s="216">
        <f t="shared" si="66"/>
        <v>255</v>
      </c>
      <c r="Z24" s="216">
        <f t="shared" si="66"/>
        <v>309</v>
      </c>
      <c r="AA24" s="216">
        <f t="shared" si="66"/>
        <v>102</v>
      </c>
      <c r="AB24" s="216">
        <f t="shared" si="66"/>
        <v>108</v>
      </c>
      <c r="AC24" s="216">
        <f t="shared" si="66"/>
        <v>1232</v>
      </c>
    </row>
  </sheetData>
  <mergeCells count="13">
    <mergeCell ref="Q2:R2"/>
    <mergeCell ref="S2:T2"/>
    <mergeCell ref="A24:B24"/>
    <mergeCell ref="U2:V2"/>
    <mergeCell ref="W2:X2"/>
    <mergeCell ref="A1:AC1"/>
    <mergeCell ref="C2:D2"/>
    <mergeCell ref="G2:H2"/>
    <mergeCell ref="I2:J2"/>
    <mergeCell ref="K2:L2"/>
    <mergeCell ref="M2:N2"/>
    <mergeCell ref="O2:P2"/>
    <mergeCell ref="Y2:Z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5.5"/>
    <col customWidth="1" min="3" max="3" width="4.63"/>
    <col customWidth="1" min="4" max="4" width="5.63"/>
    <col customWidth="1" min="5" max="5" width="6.13"/>
    <col customWidth="1" min="6" max="6" width="4.38"/>
    <col customWidth="1" min="7" max="7" width="8.25"/>
    <col customWidth="1" min="8" max="8" width="6.13"/>
    <col customWidth="1" min="9" max="9" width="9.0"/>
    <col customWidth="1" min="10" max="10" width="6.63"/>
    <col customWidth="1" min="11" max="11" width="7.88"/>
    <col customWidth="1" min="12" max="13" width="8.25"/>
    <col customWidth="1" min="14" max="14" width="15.75"/>
    <col customWidth="1" min="15" max="15" width="9.75"/>
  </cols>
  <sheetData>
    <row r="1">
      <c r="A1" s="222" t="s">
        <v>2</v>
      </c>
      <c r="B1" s="134" t="s">
        <v>62</v>
      </c>
      <c r="C1" s="134" t="s">
        <v>34</v>
      </c>
      <c r="D1" s="134" t="s">
        <v>218</v>
      </c>
      <c r="E1" s="134" t="s">
        <v>41</v>
      </c>
      <c r="F1" s="134" t="s">
        <v>48</v>
      </c>
      <c r="G1" s="134" t="s">
        <v>49</v>
      </c>
      <c r="H1" s="134" t="s">
        <v>63</v>
      </c>
      <c r="I1" s="134" t="s">
        <v>46</v>
      </c>
      <c r="J1" s="134" t="s">
        <v>64</v>
      </c>
      <c r="K1" s="134" t="s">
        <v>65</v>
      </c>
      <c r="L1" s="134" t="s">
        <v>66</v>
      </c>
      <c r="M1" s="134" t="s">
        <v>67</v>
      </c>
      <c r="N1" s="222" t="s">
        <v>74</v>
      </c>
      <c r="O1" s="134" t="s">
        <v>52</v>
      </c>
    </row>
    <row r="2">
      <c r="A2" s="223" t="s">
        <v>32</v>
      </c>
      <c r="B2" s="75">
        <v>9.0</v>
      </c>
      <c r="C2" s="75">
        <v>4.0</v>
      </c>
      <c r="D2" s="75">
        <v>12.0</v>
      </c>
      <c r="E2" s="94">
        <f t="shared" ref="E2:E21" si="1">PRODUCT(C2,(1/(C2+D2)))</f>
        <v>0.25</v>
      </c>
      <c r="F2" s="75">
        <v>4.0</v>
      </c>
      <c r="G2" s="75">
        <v>0.0</v>
      </c>
      <c r="H2" s="75">
        <v>0.0</v>
      </c>
      <c r="I2" s="75">
        <v>6.0</v>
      </c>
      <c r="J2" s="75">
        <v>0.0</v>
      </c>
      <c r="K2" s="75">
        <v>3.0</v>
      </c>
      <c r="L2" s="75">
        <v>3.0</v>
      </c>
      <c r="M2" s="75">
        <v>1.0</v>
      </c>
      <c r="N2" s="75">
        <v>9.0</v>
      </c>
      <c r="O2" s="75">
        <v>24.0</v>
      </c>
    </row>
    <row r="3">
      <c r="A3" s="224" t="s">
        <v>16</v>
      </c>
      <c r="B3" s="81">
        <v>9.0</v>
      </c>
      <c r="C3" s="81">
        <v>12.0</v>
      </c>
      <c r="D3" s="81">
        <v>9.0</v>
      </c>
      <c r="E3" s="225">
        <f t="shared" si="1"/>
        <v>0.5714285714</v>
      </c>
      <c r="F3" s="81">
        <v>7.0</v>
      </c>
      <c r="G3" s="81">
        <v>0.0</v>
      </c>
      <c r="H3" s="81">
        <v>2.0</v>
      </c>
      <c r="I3" s="81">
        <v>22.0</v>
      </c>
      <c r="J3" s="81">
        <v>21.0</v>
      </c>
      <c r="K3" s="81">
        <v>7.0</v>
      </c>
      <c r="L3" s="81">
        <v>6.0</v>
      </c>
      <c r="M3" s="81">
        <v>8.0</v>
      </c>
      <c r="N3" s="81">
        <v>36.0</v>
      </c>
      <c r="O3" s="81">
        <v>62.0</v>
      </c>
    </row>
    <row r="4">
      <c r="A4" s="223" t="s">
        <v>38</v>
      </c>
      <c r="B4" s="75">
        <v>9.0</v>
      </c>
      <c r="C4" s="75">
        <v>12.0</v>
      </c>
      <c r="D4" s="75">
        <v>13.0</v>
      </c>
      <c r="E4" s="94">
        <f t="shared" si="1"/>
        <v>0.48</v>
      </c>
      <c r="F4" s="75">
        <v>10.0</v>
      </c>
      <c r="G4" s="75">
        <v>0.0</v>
      </c>
      <c r="H4" s="75">
        <v>1.0</v>
      </c>
      <c r="I4" s="75">
        <v>19.0</v>
      </c>
      <c r="J4" s="75">
        <v>14.0</v>
      </c>
      <c r="K4" s="75">
        <v>6.0</v>
      </c>
      <c r="L4" s="75">
        <v>2.0</v>
      </c>
      <c r="M4" s="75">
        <v>3.0</v>
      </c>
      <c r="N4" s="75">
        <v>10.0</v>
      </c>
      <c r="O4" s="75">
        <v>70.0</v>
      </c>
    </row>
    <row r="5">
      <c r="A5" s="224" t="s">
        <v>44</v>
      </c>
      <c r="B5" s="81">
        <v>9.0</v>
      </c>
      <c r="C5" s="81">
        <v>11.0</v>
      </c>
      <c r="D5" s="81">
        <v>9.0</v>
      </c>
      <c r="E5" s="225">
        <f t="shared" si="1"/>
        <v>0.55</v>
      </c>
      <c r="F5" s="81">
        <v>7.0</v>
      </c>
      <c r="G5" s="81">
        <v>0.0</v>
      </c>
      <c r="H5" s="81">
        <v>0.0</v>
      </c>
      <c r="I5" s="81">
        <v>14.0</v>
      </c>
      <c r="J5" s="81">
        <v>5.0</v>
      </c>
      <c r="K5" s="81">
        <v>1.0</v>
      </c>
      <c r="L5" s="81">
        <v>0.0</v>
      </c>
      <c r="M5" s="81">
        <v>1.0</v>
      </c>
      <c r="N5" s="81">
        <v>3.0</v>
      </c>
      <c r="O5" s="81">
        <v>60.0</v>
      </c>
    </row>
    <row r="6">
      <c r="A6" s="223" t="s">
        <v>92</v>
      </c>
      <c r="B6" s="75">
        <v>9.0</v>
      </c>
      <c r="C6" s="75">
        <v>0.0</v>
      </c>
      <c r="D6" s="75">
        <v>3.0</v>
      </c>
      <c r="E6" s="94">
        <f t="shared" si="1"/>
        <v>0</v>
      </c>
      <c r="F6" s="75">
        <v>0.0</v>
      </c>
      <c r="G6" s="75">
        <v>0.0</v>
      </c>
      <c r="H6" s="75">
        <v>0.0</v>
      </c>
      <c r="I6" s="75">
        <v>0.0</v>
      </c>
      <c r="J6" s="75">
        <v>0.0</v>
      </c>
      <c r="K6" s="75">
        <v>1.0</v>
      </c>
      <c r="L6" s="75">
        <v>0.0</v>
      </c>
      <c r="M6" s="75">
        <v>0.0</v>
      </c>
      <c r="N6" s="75">
        <v>0.0</v>
      </c>
      <c r="O6" s="75">
        <v>0.0</v>
      </c>
    </row>
    <row r="7">
      <c r="A7" s="224" t="s">
        <v>26</v>
      </c>
      <c r="B7" s="81">
        <v>10.0</v>
      </c>
      <c r="C7" s="81">
        <v>8.0</v>
      </c>
      <c r="D7" s="81">
        <v>12.0</v>
      </c>
      <c r="E7" s="225">
        <f t="shared" si="1"/>
        <v>0.4</v>
      </c>
      <c r="F7" s="81">
        <v>6.0</v>
      </c>
      <c r="G7" s="81">
        <v>0.0</v>
      </c>
      <c r="H7" s="81">
        <v>0.0</v>
      </c>
      <c r="I7" s="81">
        <v>9.0</v>
      </c>
      <c r="J7" s="81">
        <v>8.0</v>
      </c>
      <c r="K7" s="81">
        <v>4.0</v>
      </c>
      <c r="L7" s="81">
        <v>4.0</v>
      </c>
      <c r="M7" s="81">
        <v>1.0</v>
      </c>
      <c r="N7" s="81">
        <v>11.0</v>
      </c>
      <c r="O7" s="81">
        <v>48.0</v>
      </c>
    </row>
    <row r="8">
      <c r="A8" s="223" t="s">
        <v>14</v>
      </c>
      <c r="B8" s="75">
        <v>12.0</v>
      </c>
      <c r="C8" s="75">
        <v>14.0</v>
      </c>
      <c r="D8" s="75">
        <v>5.0</v>
      </c>
      <c r="E8" s="94">
        <f t="shared" si="1"/>
        <v>0.7368421053</v>
      </c>
      <c r="F8" s="75">
        <v>13.0</v>
      </c>
      <c r="G8" s="75">
        <v>0.0</v>
      </c>
      <c r="H8" s="75">
        <v>0.0</v>
      </c>
      <c r="I8" s="75">
        <v>12.0</v>
      </c>
      <c r="J8" s="75">
        <v>7.0</v>
      </c>
      <c r="K8" s="75">
        <v>3.0</v>
      </c>
      <c r="L8" s="75">
        <v>1.0</v>
      </c>
      <c r="M8" s="75">
        <v>1.0</v>
      </c>
      <c r="N8" s="75">
        <v>5.0</v>
      </c>
      <c r="O8" s="75">
        <v>84.0</v>
      </c>
    </row>
    <row r="9">
      <c r="A9" s="224" t="s">
        <v>15</v>
      </c>
      <c r="B9" s="81">
        <v>11.0</v>
      </c>
      <c r="C9" s="81">
        <v>18.0</v>
      </c>
      <c r="D9" s="81">
        <v>9.0</v>
      </c>
      <c r="E9" s="225">
        <f t="shared" si="1"/>
        <v>0.6666666667</v>
      </c>
      <c r="F9" s="81">
        <v>12.0</v>
      </c>
      <c r="G9" s="81">
        <v>1.0</v>
      </c>
      <c r="H9" s="81">
        <v>1.0</v>
      </c>
      <c r="I9" s="81">
        <v>30.0</v>
      </c>
      <c r="J9" s="81">
        <v>5.0</v>
      </c>
      <c r="K9" s="81">
        <v>13.0</v>
      </c>
      <c r="L9" s="81">
        <v>6.0</v>
      </c>
      <c r="M9" s="81">
        <v>8.0</v>
      </c>
      <c r="N9" s="81">
        <v>36.0</v>
      </c>
      <c r="O9" s="81">
        <v>96.0</v>
      </c>
    </row>
    <row r="10">
      <c r="A10" s="223" t="s">
        <v>107</v>
      </c>
      <c r="B10" s="75">
        <v>12.0</v>
      </c>
      <c r="C10" s="75">
        <v>8.0</v>
      </c>
      <c r="D10" s="75">
        <v>3.0</v>
      </c>
      <c r="E10" s="94">
        <f t="shared" si="1"/>
        <v>0.7272727273</v>
      </c>
      <c r="F10" s="75">
        <v>7.0</v>
      </c>
      <c r="G10" s="75">
        <v>0.0</v>
      </c>
      <c r="H10" s="75">
        <v>1.0</v>
      </c>
      <c r="I10" s="75">
        <v>10.0</v>
      </c>
      <c r="J10" s="75">
        <v>3.0</v>
      </c>
      <c r="K10" s="75">
        <v>3.0</v>
      </c>
      <c r="L10" s="75">
        <v>1.0</v>
      </c>
      <c r="M10" s="75">
        <v>7.0</v>
      </c>
      <c r="N10" s="75">
        <v>23.0</v>
      </c>
      <c r="O10" s="75">
        <v>46.0</v>
      </c>
    </row>
    <row r="11">
      <c r="A11" s="224" t="s">
        <v>109</v>
      </c>
      <c r="B11" s="81">
        <v>10.0</v>
      </c>
      <c r="C11" s="81">
        <v>5.0</v>
      </c>
      <c r="D11" s="81">
        <v>16.0</v>
      </c>
      <c r="E11" s="225">
        <f t="shared" si="1"/>
        <v>0.2380952381</v>
      </c>
      <c r="F11" s="81">
        <v>3.0</v>
      </c>
      <c r="G11" s="81">
        <v>0.0</v>
      </c>
      <c r="H11" s="81">
        <v>0.0</v>
      </c>
      <c r="I11" s="81">
        <v>7.0</v>
      </c>
      <c r="J11" s="81">
        <v>5.0</v>
      </c>
      <c r="K11" s="81">
        <v>2.0</v>
      </c>
      <c r="L11" s="81">
        <v>0.0</v>
      </c>
      <c r="M11" s="81">
        <v>1.0</v>
      </c>
      <c r="N11" s="81">
        <v>3.0</v>
      </c>
      <c r="O11" s="81">
        <v>30.0</v>
      </c>
    </row>
    <row r="12">
      <c r="A12" s="223" t="s">
        <v>219</v>
      </c>
      <c r="B12" s="75">
        <v>11.0</v>
      </c>
      <c r="C12" s="75">
        <v>1.0</v>
      </c>
      <c r="D12" s="75">
        <v>7.0</v>
      </c>
      <c r="E12" s="94">
        <f t="shared" si="1"/>
        <v>0.125</v>
      </c>
      <c r="F12" s="75">
        <v>1.0</v>
      </c>
      <c r="G12" s="75">
        <v>0.0</v>
      </c>
      <c r="H12" s="75">
        <v>0.0</v>
      </c>
      <c r="I12" s="75">
        <v>4.0</v>
      </c>
      <c r="J12" s="75">
        <v>3.0</v>
      </c>
      <c r="K12" s="75">
        <v>6.0</v>
      </c>
      <c r="L12" s="75">
        <v>2.0</v>
      </c>
      <c r="M12" s="75">
        <v>1.0</v>
      </c>
      <c r="N12" s="75">
        <v>7.0</v>
      </c>
      <c r="O12" s="75">
        <v>6.0</v>
      </c>
    </row>
    <row r="13">
      <c r="A13" s="224" t="s">
        <v>111</v>
      </c>
      <c r="B13" s="81">
        <v>10.0</v>
      </c>
      <c r="C13" s="81">
        <v>1.0</v>
      </c>
      <c r="D13" s="81">
        <v>10.0</v>
      </c>
      <c r="E13" s="225">
        <f t="shared" si="1"/>
        <v>0.09090909091</v>
      </c>
      <c r="F13" s="81">
        <v>0.0</v>
      </c>
      <c r="G13" s="81">
        <v>0.0</v>
      </c>
      <c r="H13" s="81">
        <v>0.0</v>
      </c>
      <c r="I13" s="81">
        <v>1.0</v>
      </c>
      <c r="J13" s="81">
        <v>2.0</v>
      </c>
      <c r="K13" s="81">
        <v>0.0</v>
      </c>
      <c r="L13" s="81">
        <v>0.0</v>
      </c>
      <c r="M13" s="81">
        <v>0.0</v>
      </c>
      <c r="N13" s="81">
        <v>0.0</v>
      </c>
      <c r="O13" s="81">
        <v>6.0</v>
      </c>
    </row>
    <row r="14">
      <c r="A14" s="223" t="s">
        <v>23</v>
      </c>
      <c r="B14" s="75">
        <v>12.0</v>
      </c>
      <c r="C14" s="75">
        <v>8.0</v>
      </c>
      <c r="D14" s="75">
        <v>3.0</v>
      </c>
      <c r="E14" s="94">
        <f t="shared" si="1"/>
        <v>0.7272727273</v>
      </c>
      <c r="F14" s="75">
        <v>6.0</v>
      </c>
      <c r="G14" s="75">
        <v>0.0</v>
      </c>
      <c r="H14" s="75">
        <v>1.0</v>
      </c>
      <c r="I14" s="75">
        <v>12.0</v>
      </c>
      <c r="J14" s="75">
        <v>2.0</v>
      </c>
      <c r="K14" s="75">
        <v>5.0</v>
      </c>
      <c r="L14" s="75">
        <v>1.0</v>
      </c>
      <c r="M14" s="75">
        <v>1.0</v>
      </c>
      <c r="N14" s="75">
        <v>5.0</v>
      </c>
      <c r="O14" s="75">
        <v>43.0</v>
      </c>
    </row>
    <row r="15">
      <c r="A15" s="224" t="s">
        <v>120</v>
      </c>
      <c r="B15" s="81">
        <v>10.0</v>
      </c>
      <c r="C15" s="81">
        <v>2.0</v>
      </c>
      <c r="D15" s="81">
        <v>4.0</v>
      </c>
      <c r="E15" s="225">
        <f t="shared" si="1"/>
        <v>0.3333333333</v>
      </c>
      <c r="F15" s="81">
        <v>2.0</v>
      </c>
      <c r="G15" s="81">
        <v>0.0</v>
      </c>
      <c r="H15" s="81">
        <v>0.0</v>
      </c>
      <c r="I15" s="81">
        <v>4.0</v>
      </c>
      <c r="J15" s="81">
        <v>2.0</v>
      </c>
      <c r="K15" s="81">
        <v>1.0</v>
      </c>
      <c r="L15" s="81">
        <v>1.0</v>
      </c>
      <c r="M15" s="81">
        <v>0.0</v>
      </c>
      <c r="N15" s="81">
        <v>2.0</v>
      </c>
      <c r="O15" s="81">
        <v>12.0</v>
      </c>
    </row>
    <row r="16">
      <c r="A16" s="223" t="s">
        <v>18</v>
      </c>
      <c r="B16" s="75">
        <v>9.0</v>
      </c>
      <c r="C16" s="75">
        <v>6.0</v>
      </c>
      <c r="D16" s="75">
        <v>15.0</v>
      </c>
      <c r="E16" s="94">
        <f t="shared" si="1"/>
        <v>0.2857142857</v>
      </c>
      <c r="F16" s="75">
        <v>6.0</v>
      </c>
      <c r="G16" s="75">
        <v>0.0</v>
      </c>
      <c r="H16" s="75">
        <v>0.0</v>
      </c>
      <c r="I16" s="75">
        <v>11.0</v>
      </c>
      <c r="J16" s="75">
        <v>6.0</v>
      </c>
      <c r="K16" s="75">
        <v>2.0</v>
      </c>
      <c r="L16" s="75">
        <v>0.0</v>
      </c>
      <c r="M16" s="75">
        <v>2.0</v>
      </c>
      <c r="N16" s="75">
        <v>6.0</v>
      </c>
      <c r="O16" s="75">
        <v>36.0</v>
      </c>
    </row>
    <row r="17">
      <c r="A17" s="224" t="s">
        <v>5</v>
      </c>
      <c r="B17" s="81">
        <v>10.0</v>
      </c>
      <c r="C17" s="81">
        <v>3.0</v>
      </c>
      <c r="D17" s="81">
        <v>18.0</v>
      </c>
      <c r="E17" s="225">
        <f t="shared" si="1"/>
        <v>0.1428571429</v>
      </c>
      <c r="F17" s="81">
        <v>1.0</v>
      </c>
      <c r="G17" s="81">
        <v>0.0</v>
      </c>
      <c r="H17" s="81">
        <v>0.0</v>
      </c>
      <c r="I17" s="81">
        <v>8.0</v>
      </c>
      <c r="J17" s="81">
        <v>13.0</v>
      </c>
      <c r="K17" s="81">
        <v>1.0</v>
      </c>
      <c r="L17" s="81">
        <v>2.0</v>
      </c>
      <c r="M17" s="81">
        <v>1.0</v>
      </c>
      <c r="N17" s="81">
        <v>7.0</v>
      </c>
      <c r="O17" s="81">
        <v>15.0</v>
      </c>
    </row>
    <row r="18">
      <c r="A18" s="223" t="s">
        <v>220</v>
      </c>
      <c r="B18" s="75">
        <v>10.0</v>
      </c>
      <c r="C18" s="75">
        <v>6.0</v>
      </c>
      <c r="D18" s="75">
        <v>6.0</v>
      </c>
      <c r="E18" s="94">
        <f t="shared" si="1"/>
        <v>0.5</v>
      </c>
      <c r="F18" s="75">
        <v>6.0</v>
      </c>
      <c r="G18" s="75">
        <v>0.0</v>
      </c>
      <c r="H18" s="75">
        <v>0.0</v>
      </c>
      <c r="I18" s="75">
        <v>5.0</v>
      </c>
      <c r="J18" s="75">
        <v>0.0</v>
      </c>
      <c r="K18" s="75">
        <v>3.0</v>
      </c>
      <c r="L18" s="75">
        <v>1.0</v>
      </c>
      <c r="M18" s="75">
        <v>0.0</v>
      </c>
      <c r="N18" s="75">
        <v>2.0</v>
      </c>
      <c r="O18" s="75">
        <v>36.0</v>
      </c>
    </row>
    <row r="19">
      <c r="A19" s="224" t="s">
        <v>132</v>
      </c>
      <c r="B19" s="81">
        <v>10.0</v>
      </c>
      <c r="C19" s="81">
        <v>8.0</v>
      </c>
      <c r="D19" s="81">
        <v>15.0</v>
      </c>
      <c r="E19" s="225">
        <f t="shared" si="1"/>
        <v>0.347826087</v>
      </c>
      <c r="F19" s="81">
        <v>8.0</v>
      </c>
      <c r="G19" s="81">
        <v>0.0</v>
      </c>
      <c r="H19" s="81">
        <v>0.0</v>
      </c>
      <c r="I19" s="81">
        <v>15.0</v>
      </c>
      <c r="J19" s="81">
        <v>13.0</v>
      </c>
      <c r="K19" s="81">
        <v>8.0</v>
      </c>
      <c r="L19" s="81">
        <v>1.0</v>
      </c>
      <c r="M19" s="81">
        <v>1.0</v>
      </c>
      <c r="N19" s="81">
        <v>5.0</v>
      </c>
      <c r="O19" s="81">
        <v>48.0</v>
      </c>
    </row>
    <row r="20">
      <c r="A20" s="223" t="s">
        <v>12</v>
      </c>
      <c r="B20" s="75">
        <v>11.0</v>
      </c>
      <c r="C20" s="75">
        <v>17.0</v>
      </c>
      <c r="D20" s="75">
        <v>8.0</v>
      </c>
      <c r="E20" s="94">
        <f t="shared" si="1"/>
        <v>0.68</v>
      </c>
      <c r="F20" s="75">
        <v>14.0</v>
      </c>
      <c r="G20" s="75">
        <v>0.0</v>
      </c>
      <c r="H20" s="75">
        <v>0.0</v>
      </c>
      <c r="I20" s="75">
        <v>23.0</v>
      </c>
      <c r="J20" s="75">
        <v>4.0</v>
      </c>
      <c r="K20" s="75">
        <v>1.0</v>
      </c>
      <c r="L20" s="75">
        <v>1.0</v>
      </c>
      <c r="M20" s="75">
        <v>1.0</v>
      </c>
      <c r="N20" s="75">
        <v>5.0</v>
      </c>
      <c r="O20" s="75">
        <v>99.0</v>
      </c>
    </row>
    <row r="21">
      <c r="A21" s="33" t="s">
        <v>152</v>
      </c>
      <c r="B21" s="20"/>
      <c r="C21" s="136">
        <f t="shared" ref="C21:D21" si="2">SUM(C2:C20)</f>
        <v>144</v>
      </c>
      <c r="D21" s="136">
        <f t="shared" si="2"/>
        <v>177</v>
      </c>
      <c r="E21" s="226">
        <f t="shared" si="1"/>
        <v>0.4485981308</v>
      </c>
      <c r="F21" s="136">
        <f t="shared" ref="F21:O21" si="3">SUM(F2:F20)</f>
        <v>113</v>
      </c>
      <c r="G21" s="136">
        <f t="shared" si="3"/>
        <v>1</v>
      </c>
      <c r="H21" s="136">
        <f t="shared" si="3"/>
        <v>6</v>
      </c>
      <c r="I21" s="136">
        <f t="shared" si="3"/>
        <v>212</v>
      </c>
      <c r="J21" s="136">
        <f t="shared" si="3"/>
        <v>113</v>
      </c>
      <c r="K21" s="136">
        <f t="shared" si="3"/>
        <v>70</v>
      </c>
      <c r="L21" s="136">
        <f t="shared" si="3"/>
        <v>32</v>
      </c>
      <c r="M21" s="136">
        <f t="shared" si="3"/>
        <v>38</v>
      </c>
      <c r="N21" s="136">
        <f t="shared" si="3"/>
        <v>175</v>
      </c>
      <c r="O21" s="136">
        <f t="shared" si="3"/>
        <v>821</v>
      </c>
    </row>
  </sheetData>
  <mergeCells count="1">
    <mergeCell ref="A21:B2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5.88"/>
    <col customWidth="1" min="3" max="3" width="5.0"/>
    <col customWidth="1" min="4" max="4" width="6.75"/>
    <col customWidth="1" min="5" max="5" width="6.0"/>
    <col customWidth="1" min="6" max="6" width="4.5"/>
    <col customWidth="1" min="7" max="7" width="9.0"/>
    <col customWidth="1" min="8" max="8" width="6.38"/>
    <col customWidth="1" min="9" max="9" width="10.0"/>
    <col customWidth="1" min="10" max="10" width="7.75"/>
    <col customWidth="1" min="11" max="11" width="8.88"/>
    <col customWidth="1" min="12" max="13" width="8.5"/>
    <col customWidth="1" min="14" max="14" width="15.0"/>
    <col customWidth="1" min="15" max="15" width="10.75"/>
  </cols>
  <sheetData>
    <row r="1">
      <c r="A1" s="222" t="s">
        <v>2</v>
      </c>
      <c r="B1" s="134" t="s">
        <v>62</v>
      </c>
      <c r="C1" s="134" t="s">
        <v>34</v>
      </c>
      <c r="D1" s="134" t="s">
        <v>218</v>
      </c>
      <c r="E1" s="134" t="s">
        <v>41</v>
      </c>
      <c r="F1" s="134" t="s">
        <v>48</v>
      </c>
      <c r="G1" s="134" t="s">
        <v>49</v>
      </c>
      <c r="H1" s="134" t="s">
        <v>63</v>
      </c>
      <c r="I1" s="134" t="s">
        <v>46</v>
      </c>
      <c r="J1" s="134" t="s">
        <v>64</v>
      </c>
      <c r="K1" s="134" t="s">
        <v>65</v>
      </c>
      <c r="L1" s="134" t="s">
        <v>66</v>
      </c>
      <c r="M1" s="134" t="s">
        <v>67</v>
      </c>
      <c r="N1" s="222" t="s">
        <v>221</v>
      </c>
      <c r="O1" s="134" t="s">
        <v>52</v>
      </c>
    </row>
    <row r="2">
      <c r="A2" s="223" t="s">
        <v>78</v>
      </c>
      <c r="B2" s="75">
        <v>12.0</v>
      </c>
      <c r="C2" s="75">
        <v>2.0</v>
      </c>
      <c r="D2" s="75">
        <v>2.0</v>
      </c>
      <c r="E2" s="94">
        <f t="shared" ref="E2:E9" si="1">PRODUCT(C2,(1/(C2+D2)))</f>
        <v>0.5</v>
      </c>
      <c r="F2" s="75">
        <v>1.0</v>
      </c>
      <c r="G2" s="75">
        <v>0.0</v>
      </c>
      <c r="H2" s="75">
        <v>0.0</v>
      </c>
      <c r="I2" s="75">
        <v>1.0</v>
      </c>
      <c r="J2" s="75">
        <v>1.0</v>
      </c>
      <c r="K2" s="75">
        <v>1.0</v>
      </c>
      <c r="L2" s="75">
        <v>0.0</v>
      </c>
      <c r="M2" s="75">
        <v>0.0</v>
      </c>
      <c r="N2" s="75">
        <v>0.0</v>
      </c>
      <c r="O2" s="75">
        <v>9.0</v>
      </c>
    </row>
    <row r="3">
      <c r="A3" s="224" t="s">
        <v>14</v>
      </c>
      <c r="B3" s="81">
        <v>11.0</v>
      </c>
      <c r="C3" s="81">
        <v>3.0</v>
      </c>
      <c r="D3" s="81">
        <v>1.0</v>
      </c>
      <c r="E3" s="225">
        <f t="shared" si="1"/>
        <v>0.75</v>
      </c>
      <c r="F3" s="81">
        <v>3.0</v>
      </c>
      <c r="G3" s="81">
        <v>0.0</v>
      </c>
      <c r="H3" s="81">
        <v>0.0</v>
      </c>
      <c r="I3" s="81">
        <v>3.0</v>
      </c>
      <c r="J3" s="81">
        <v>1.0</v>
      </c>
      <c r="K3" s="81">
        <v>1.0</v>
      </c>
      <c r="L3" s="81">
        <v>0.0</v>
      </c>
      <c r="M3" s="81">
        <v>0.0</v>
      </c>
      <c r="N3" s="81">
        <v>0.0</v>
      </c>
      <c r="O3" s="81">
        <v>18.0</v>
      </c>
    </row>
    <row r="4">
      <c r="A4" s="223" t="s">
        <v>15</v>
      </c>
      <c r="B4" s="75">
        <v>10.0</v>
      </c>
      <c r="C4" s="75">
        <v>3.0</v>
      </c>
      <c r="D4" s="75">
        <v>2.0</v>
      </c>
      <c r="E4" s="94">
        <f t="shared" si="1"/>
        <v>0.6</v>
      </c>
      <c r="F4" s="75">
        <v>3.0</v>
      </c>
      <c r="G4" s="75">
        <v>0.0</v>
      </c>
      <c r="H4" s="75">
        <v>0.0</v>
      </c>
      <c r="I4" s="75">
        <v>7.0</v>
      </c>
      <c r="J4" s="75">
        <v>1.0</v>
      </c>
      <c r="K4" s="75">
        <v>1.0</v>
      </c>
      <c r="L4" s="75">
        <v>1.0</v>
      </c>
      <c r="M4" s="75">
        <v>1.0</v>
      </c>
      <c r="N4" s="75">
        <v>5.0</v>
      </c>
      <c r="O4" s="75">
        <v>18.0</v>
      </c>
    </row>
    <row r="5">
      <c r="A5" s="224" t="s">
        <v>107</v>
      </c>
      <c r="B5" s="81">
        <v>11.0</v>
      </c>
      <c r="C5" s="81">
        <v>1.0</v>
      </c>
      <c r="D5" s="81">
        <v>7.0</v>
      </c>
      <c r="E5" s="225">
        <f t="shared" si="1"/>
        <v>0.125</v>
      </c>
      <c r="F5" s="81">
        <v>1.0</v>
      </c>
      <c r="G5" s="81">
        <v>0.0</v>
      </c>
      <c r="H5" s="81">
        <v>0.0</v>
      </c>
      <c r="I5" s="81">
        <v>0.0</v>
      </c>
      <c r="J5" s="81">
        <v>1.0</v>
      </c>
      <c r="K5" s="81">
        <v>1.0</v>
      </c>
      <c r="L5" s="81">
        <v>0.0</v>
      </c>
      <c r="M5" s="81">
        <v>0.0</v>
      </c>
      <c r="N5" s="81">
        <v>0.0</v>
      </c>
      <c r="O5" s="81">
        <v>6.0</v>
      </c>
    </row>
    <row r="6">
      <c r="A6" s="223" t="s">
        <v>123</v>
      </c>
      <c r="B6" s="75">
        <v>12.0</v>
      </c>
      <c r="C6" s="75">
        <v>1.0</v>
      </c>
      <c r="D6" s="75">
        <v>3.0</v>
      </c>
      <c r="E6" s="94">
        <f t="shared" si="1"/>
        <v>0.25</v>
      </c>
      <c r="F6" s="75">
        <v>1.0</v>
      </c>
      <c r="G6" s="75">
        <v>0.0</v>
      </c>
      <c r="H6" s="75">
        <v>0.0</v>
      </c>
      <c r="I6" s="75">
        <v>2.0</v>
      </c>
      <c r="J6" s="75">
        <v>2.0</v>
      </c>
      <c r="K6" s="75">
        <v>0.0</v>
      </c>
      <c r="L6" s="75">
        <v>0.0</v>
      </c>
      <c r="M6" s="75">
        <v>0.0</v>
      </c>
      <c r="N6" s="75">
        <v>0.0</v>
      </c>
      <c r="O6" s="75">
        <v>6.0</v>
      </c>
    </row>
    <row r="7">
      <c r="A7" s="224" t="s">
        <v>125</v>
      </c>
      <c r="B7" s="81">
        <v>12.0</v>
      </c>
      <c r="C7" s="81">
        <v>2.0</v>
      </c>
      <c r="D7" s="81">
        <v>2.0</v>
      </c>
      <c r="E7" s="225">
        <f t="shared" si="1"/>
        <v>0.5</v>
      </c>
      <c r="F7" s="81">
        <v>2.0</v>
      </c>
      <c r="G7" s="81">
        <v>0.0</v>
      </c>
      <c r="H7" s="81">
        <v>0.0</v>
      </c>
      <c r="I7" s="81">
        <v>4.0</v>
      </c>
      <c r="J7" s="81">
        <v>0.0</v>
      </c>
      <c r="K7" s="81">
        <v>0.0</v>
      </c>
      <c r="L7" s="81">
        <v>0.0</v>
      </c>
      <c r="M7" s="81">
        <v>0.0</v>
      </c>
      <c r="N7" s="81">
        <v>0.0</v>
      </c>
      <c r="O7" s="81">
        <v>12.0</v>
      </c>
    </row>
    <row r="8">
      <c r="A8" s="223" t="s">
        <v>12</v>
      </c>
      <c r="B8" s="75">
        <v>10.0</v>
      </c>
      <c r="C8" s="75">
        <v>0.0</v>
      </c>
      <c r="D8" s="75">
        <v>1.0</v>
      </c>
      <c r="E8" s="94">
        <f t="shared" si="1"/>
        <v>0</v>
      </c>
      <c r="F8" s="75">
        <v>0.0</v>
      </c>
      <c r="G8" s="75">
        <v>0.0</v>
      </c>
      <c r="H8" s="75">
        <v>0.0</v>
      </c>
      <c r="I8" s="75">
        <v>0.0</v>
      </c>
      <c r="J8" s="75">
        <v>0.0</v>
      </c>
      <c r="K8" s="75">
        <v>1.0</v>
      </c>
      <c r="L8" s="75">
        <v>0.0</v>
      </c>
      <c r="M8" s="75">
        <v>0.0</v>
      </c>
      <c r="N8" s="75">
        <v>0.0</v>
      </c>
      <c r="O8" s="75">
        <v>0.0</v>
      </c>
    </row>
    <row r="9">
      <c r="A9" s="33" t="s">
        <v>152</v>
      </c>
      <c r="B9" s="20"/>
      <c r="C9" s="136">
        <f t="shared" ref="C9:D9" si="2">SUM(C2:C8)</f>
        <v>12</v>
      </c>
      <c r="D9" s="136">
        <f t="shared" si="2"/>
        <v>18</v>
      </c>
      <c r="E9" s="226">
        <f t="shared" si="1"/>
        <v>0.4</v>
      </c>
      <c r="F9" s="136">
        <f t="shared" ref="F9:O9" si="3">SUM(F2:F8)</f>
        <v>11</v>
      </c>
      <c r="G9" s="136">
        <f t="shared" si="3"/>
        <v>0</v>
      </c>
      <c r="H9" s="136">
        <f t="shared" si="3"/>
        <v>0</v>
      </c>
      <c r="I9" s="136">
        <f t="shared" si="3"/>
        <v>17</v>
      </c>
      <c r="J9" s="136">
        <f t="shared" si="3"/>
        <v>6</v>
      </c>
      <c r="K9" s="136">
        <f t="shared" si="3"/>
        <v>5</v>
      </c>
      <c r="L9" s="136">
        <f t="shared" si="3"/>
        <v>1</v>
      </c>
      <c r="M9" s="136">
        <f t="shared" si="3"/>
        <v>1</v>
      </c>
      <c r="N9" s="136">
        <f t="shared" si="3"/>
        <v>5</v>
      </c>
      <c r="O9" s="136">
        <f t="shared" si="3"/>
        <v>69</v>
      </c>
    </row>
  </sheetData>
  <mergeCells count="1">
    <mergeCell ref="A9:B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5.5"/>
    <col customWidth="1" min="3" max="3" width="5.0"/>
    <col customWidth="1" min="4" max="4" width="6.75"/>
    <col customWidth="1" min="5" max="5" width="6.0"/>
    <col customWidth="1" min="6" max="6" width="4.5"/>
    <col customWidth="1" min="7" max="7" width="9.0"/>
    <col customWidth="1" min="8" max="8" width="6.38"/>
    <col customWidth="1" min="9" max="9" width="10.0"/>
    <col customWidth="1" min="10" max="10" width="7.75"/>
    <col customWidth="1" min="11" max="11" width="8.88"/>
    <col customWidth="1" min="12" max="13" width="8.5"/>
    <col customWidth="1" min="14" max="14" width="15.75"/>
    <col customWidth="1" min="15" max="15" width="10.75"/>
  </cols>
  <sheetData>
    <row r="1">
      <c r="A1" s="222" t="s">
        <v>2</v>
      </c>
      <c r="B1" s="134" t="s">
        <v>62</v>
      </c>
      <c r="C1" s="134" t="s">
        <v>34</v>
      </c>
      <c r="D1" s="134" t="s">
        <v>218</v>
      </c>
      <c r="E1" s="134" t="s">
        <v>41</v>
      </c>
      <c r="F1" s="134" t="s">
        <v>48</v>
      </c>
      <c r="G1" s="134" t="s">
        <v>49</v>
      </c>
      <c r="H1" s="134" t="s">
        <v>63</v>
      </c>
      <c r="I1" s="134" t="s">
        <v>46</v>
      </c>
      <c r="J1" s="134" t="s">
        <v>64</v>
      </c>
      <c r="K1" s="134" t="s">
        <v>65</v>
      </c>
      <c r="L1" s="134" t="s">
        <v>66</v>
      </c>
      <c r="M1" s="134" t="s">
        <v>67</v>
      </c>
      <c r="N1" s="222" t="s">
        <v>74</v>
      </c>
      <c r="O1" s="134" t="s">
        <v>52</v>
      </c>
    </row>
    <row r="2">
      <c r="A2" s="223" t="s">
        <v>78</v>
      </c>
      <c r="B2" s="75">
        <v>11.0</v>
      </c>
      <c r="C2" s="75">
        <v>3.0</v>
      </c>
      <c r="D2" s="75">
        <v>11.0</v>
      </c>
      <c r="E2" s="94">
        <f t="shared" ref="E2:E18" si="1">PRODUCT(C2,(1/(C2+D2)))</f>
        <v>0.2142857143</v>
      </c>
      <c r="F2" s="75">
        <v>2.0</v>
      </c>
      <c r="G2" s="75">
        <v>0.0</v>
      </c>
      <c r="H2" s="75">
        <v>1.0</v>
      </c>
      <c r="I2" s="75">
        <v>3.0</v>
      </c>
      <c r="J2" s="75">
        <v>1.0</v>
      </c>
      <c r="K2" s="75">
        <v>2.0</v>
      </c>
      <c r="L2" s="75">
        <v>0.0</v>
      </c>
      <c r="M2" s="75">
        <v>1.0</v>
      </c>
      <c r="N2" s="75">
        <v>3.0</v>
      </c>
      <c r="O2" s="75">
        <v>18.0</v>
      </c>
    </row>
    <row r="3">
      <c r="A3" s="227" t="s">
        <v>87</v>
      </c>
      <c r="B3" s="81"/>
      <c r="C3" s="81">
        <v>1.0</v>
      </c>
      <c r="D3" s="81">
        <v>10.0</v>
      </c>
      <c r="E3" s="225">
        <f t="shared" si="1"/>
        <v>0.09090909091</v>
      </c>
      <c r="F3" s="81">
        <v>1.0</v>
      </c>
      <c r="G3" s="81">
        <v>0.0</v>
      </c>
      <c r="H3" s="81">
        <v>0.0</v>
      </c>
      <c r="I3" s="81">
        <v>2.0</v>
      </c>
      <c r="J3" s="81">
        <v>3.0</v>
      </c>
      <c r="K3" s="81">
        <v>0.0</v>
      </c>
      <c r="L3" s="81">
        <v>0.0</v>
      </c>
      <c r="M3" s="81">
        <v>0.0</v>
      </c>
      <c r="N3" s="81">
        <v>0.0</v>
      </c>
      <c r="O3" s="81">
        <v>6.0</v>
      </c>
    </row>
    <row r="4">
      <c r="A4" s="223" t="s">
        <v>95</v>
      </c>
      <c r="B4" s="75"/>
      <c r="C4" s="75">
        <v>6.0</v>
      </c>
      <c r="D4" s="75">
        <v>5.0</v>
      </c>
      <c r="E4" s="94">
        <f t="shared" si="1"/>
        <v>0.5454545455</v>
      </c>
      <c r="F4" s="75">
        <v>2.0</v>
      </c>
      <c r="G4" s="75">
        <v>0.0</v>
      </c>
      <c r="H4" s="75">
        <v>0.0</v>
      </c>
      <c r="I4" s="75">
        <v>13.0</v>
      </c>
      <c r="J4" s="75">
        <v>2.0</v>
      </c>
      <c r="K4" s="75">
        <v>1.0</v>
      </c>
      <c r="L4" s="75">
        <v>2.0</v>
      </c>
      <c r="M4" s="75">
        <v>2.0</v>
      </c>
      <c r="N4" s="75">
        <v>10.0</v>
      </c>
      <c r="O4" s="75">
        <v>27.0</v>
      </c>
    </row>
    <row r="5">
      <c r="A5" s="224" t="s">
        <v>96</v>
      </c>
      <c r="B5" s="81"/>
      <c r="C5" s="81">
        <v>0.0</v>
      </c>
      <c r="D5" s="81">
        <v>4.0</v>
      </c>
      <c r="E5" s="225">
        <f t="shared" si="1"/>
        <v>0</v>
      </c>
      <c r="F5" s="81">
        <v>0.0</v>
      </c>
      <c r="G5" s="81">
        <v>0.0</v>
      </c>
      <c r="H5" s="81">
        <v>0.0</v>
      </c>
      <c r="I5" s="81">
        <v>1.0</v>
      </c>
      <c r="J5" s="81">
        <v>0.0</v>
      </c>
      <c r="K5" s="81">
        <v>0.0</v>
      </c>
      <c r="L5" s="81">
        <v>0.0</v>
      </c>
      <c r="M5" s="81">
        <v>1.0</v>
      </c>
      <c r="N5" s="81">
        <v>3.0</v>
      </c>
      <c r="O5" s="81">
        <v>0.0</v>
      </c>
    </row>
    <row r="6">
      <c r="A6" s="223" t="s">
        <v>14</v>
      </c>
      <c r="B6" s="75">
        <v>10.0</v>
      </c>
      <c r="C6" s="75">
        <v>4.0</v>
      </c>
      <c r="D6" s="75">
        <v>8.0</v>
      </c>
      <c r="E6" s="94">
        <f t="shared" si="1"/>
        <v>0.3333333333</v>
      </c>
      <c r="F6" s="75">
        <v>3.0</v>
      </c>
      <c r="G6" s="75">
        <v>0.0</v>
      </c>
      <c r="H6" s="75">
        <v>0.0</v>
      </c>
      <c r="I6" s="75">
        <v>4.0</v>
      </c>
      <c r="J6" s="75">
        <v>4.0</v>
      </c>
      <c r="K6" s="75">
        <v>1.0</v>
      </c>
      <c r="L6" s="75">
        <v>0.0</v>
      </c>
      <c r="M6" s="75">
        <v>0.0</v>
      </c>
      <c r="N6" s="75">
        <v>0.0</v>
      </c>
      <c r="O6" s="75">
        <v>24.0</v>
      </c>
    </row>
    <row r="7">
      <c r="A7" s="224" t="s">
        <v>101</v>
      </c>
      <c r="B7" s="81"/>
      <c r="C7" s="81">
        <v>2.0</v>
      </c>
      <c r="D7" s="81">
        <v>4.0</v>
      </c>
      <c r="E7" s="225">
        <f t="shared" si="1"/>
        <v>0.3333333333</v>
      </c>
      <c r="F7" s="81">
        <v>1.0</v>
      </c>
      <c r="G7" s="81">
        <v>0.0</v>
      </c>
      <c r="H7" s="81">
        <v>1.0</v>
      </c>
      <c r="I7" s="81">
        <v>3.0</v>
      </c>
      <c r="J7" s="81">
        <v>2.0</v>
      </c>
      <c r="K7" s="81">
        <v>0.0</v>
      </c>
      <c r="L7" s="81">
        <v>0.0</v>
      </c>
      <c r="M7" s="81">
        <v>1.0</v>
      </c>
      <c r="N7" s="81">
        <v>3.0</v>
      </c>
      <c r="O7" s="81">
        <v>10.0</v>
      </c>
    </row>
    <row r="8">
      <c r="A8" s="223" t="s">
        <v>15</v>
      </c>
      <c r="B8" s="75">
        <v>9.0</v>
      </c>
      <c r="C8" s="75">
        <v>9.0</v>
      </c>
      <c r="D8" s="75">
        <v>8.0</v>
      </c>
      <c r="E8" s="94">
        <f t="shared" si="1"/>
        <v>0.5294117647</v>
      </c>
      <c r="F8" s="75">
        <v>7.0</v>
      </c>
      <c r="G8" s="75">
        <v>0.0</v>
      </c>
      <c r="H8" s="75">
        <v>1.0</v>
      </c>
      <c r="I8" s="75">
        <v>15.0</v>
      </c>
      <c r="J8" s="75">
        <v>2.0</v>
      </c>
      <c r="K8" s="75">
        <v>5.0</v>
      </c>
      <c r="L8" s="75">
        <v>1.0</v>
      </c>
      <c r="M8" s="75">
        <v>6.0</v>
      </c>
      <c r="N8" s="75">
        <v>21.0</v>
      </c>
      <c r="O8" s="75">
        <v>39.0</v>
      </c>
    </row>
    <row r="9">
      <c r="A9" s="227" t="s">
        <v>105</v>
      </c>
      <c r="B9" s="81"/>
      <c r="C9" s="81">
        <v>6.0</v>
      </c>
      <c r="D9" s="81">
        <v>6.0</v>
      </c>
      <c r="E9" s="225">
        <f t="shared" si="1"/>
        <v>0.5</v>
      </c>
      <c r="F9" s="81">
        <v>2.0</v>
      </c>
      <c r="G9" s="81">
        <v>0.0</v>
      </c>
      <c r="H9" s="81">
        <v>0.0</v>
      </c>
      <c r="I9" s="81">
        <v>4.0</v>
      </c>
      <c r="J9" s="81">
        <v>5.0</v>
      </c>
      <c r="K9" s="81">
        <v>3.0</v>
      </c>
      <c r="L9" s="81">
        <v>0.0</v>
      </c>
      <c r="M9" s="81">
        <v>1.0</v>
      </c>
      <c r="N9" s="81">
        <v>3.0</v>
      </c>
      <c r="O9" s="81">
        <v>27.0</v>
      </c>
    </row>
    <row r="10">
      <c r="A10" s="223" t="s">
        <v>106</v>
      </c>
      <c r="B10" s="75"/>
      <c r="C10" s="75">
        <v>3.0</v>
      </c>
      <c r="D10" s="75">
        <v>14.0</v>
      </c>
      <c r="E10" s="94">
        <f t="shared" si="1"/>
        <v>0.1764705882</v>
      </c>
      <c r="F10" s="75">
        <v>2.0</v>
      </c>
      <c r="G10" s="75">
        <v>0.0</v>
      </c>
      <c r="H10" s="75">
        <v>0.0</v>
      </c>
      <c r="I10" s="75">
        <v>10.0</v>
      </c>
      <c r="J10" s="75">
        <v>2.0</v>
      </c>
      <c r="K10" s="75">
        <v>6.0</v>
      </c>
      <c r="L10" s="75">
        <v>2.0</v>
      </c>
      <c r="M10" s="75">
        <v>0.0</v>
      </c>
      <c r="N10" s="75">
        <v>4.0</v>
      </c>
      <c r="O10" s="75">
        <v>15.0</v>
      </c>
    </row>
    <row r="11">
      <c r="A11" s="224" t="s">
        <v>107</v>
      </c>
      <c r="B11" s="81">
        <v>10.0</v>
      </c>
      <c r="C11" s="81">
        <v>9.0</v>
      </c>
      <c r="D11" s="81">
        <v>9.0</v>
      </c>
      <c r="E11" s="225">
        <f t="shared" si="1"/>
        <v>0.5</v>
      </c>
      <c r="F11" s="81">
        <v>5.0</v>
      </c>
      <c r="G11" s="81">
        <v>0.0</v>
      </c>
      <c r="H11" s="81">
        <v>1.0</v>
      </c>
      <c r="I11" s="81">
        <v>9.0</v>
      </c>
      <c r="J11" s="81">
        <v>6.0</v>
      </c>
      <c r="K11" s="81">
        <v>0.0</v>
      </c>
      <c r="L11" s="81">
        <v>1.0</v>
      </c>
      <c r="M11" s="81">
        <v>2.0</v>
      </c>
      <c r="N11" s="81">
        <v>8.0</v>
      </c>
      <c r="O11" s="81">
        <v>52.0</v>
      </c>
    </row>
    <row r="12">
      <c r="A12" s="228" t="s">
        <v>108</v>
      </c>
      <c r="B12" s="75"/>
      <c r="C12" s="75">
        <v>8.0</v>
      </c>
      <c r="D12" s="75">
        <v>10.0</v>
      </c>
      <c r="E12" s="94">
        <f t="shared" si="1"/>
        <v>0.4444444444</v>
      </c>
      <c r="F12" s="75">
        <v>7.0</v>
      </c>
      <c r="G12" s="75">
        <v>0.0</v>
      </c>
      <c r="H12" s="75">
        <v>0.0</v>
      </c>
      <c r="I12" s="75">
        <v>9.0</v>
      </c>
      <c r="J12" s="75">
        <v>6.0</v>
      </c>
      <c r="K12" s="75">
        <v>13.0</v>
      </c>
      <c r="L12" s="75">
        <v>5.0</v>
      </c>
      <c r="M12" s="75">
        <v>1.0</v>
      </c>
      <c r="N12" s="75">
        <v>13.0</v>
      </c>
      <c r="O12" s="75">
        <v>45.0</v>
      </c>
    </row>
    <row r="13">
      <c r="A13" s="224" t="s">
        <v>23</v>
      </c>
      <c r="B13" s="81"/>
      <c r="C13" s="81">
        <v>6.0</v>
      </c>
      <c r="D13" s="81">
        <v>6.0</v>
      </c>
      <c r="E13" s="225">
        <f t="shared" si="1"/>
        <v>0.5</v>
      </c>
      <c r="F13" s="81">
        <v>4.0</v>
      </c>
      <c r="G13" s="81">
        <v>0.0</v>
      </c>
      <c r="H13" s="81">
        <v>0.0</v>
      </c>
      <c r="I13" s="81">
        <v>10.0</v>
      </c>
      <c r="J13" s="81">
        <v>7.0</v>
      </c>
      <c r="K13" s="81">
        <v>4.0</v>
      </c>
      <c r="L13" s="81">
        <v>2.0</v>
      </c>
      <c r="M13" s="81">
        <v>0.0</v>
      </c>
      <c r="N13" s="81">
        <v>4.0</v>
      </c>
      <c r="O13" s="81">
        <v>30.0</v>
      </c>
    </row>
    <row r="14">
      <c r="A14" s="223" t="s">
        <v>121</v>
      </c>
      <c r="B14" s="75"/>
      <c r="C14" s="75">
        <v>1.0</v>
      </c>
      <c r="D14" s="75">
        <v>4.0</v>
      </c>
      <c r="E14" s="94">
        <f t="shared" si="1"/>
        <v>0.2</v>
      </c>
      <c r="F14" s="75">
        <v>1.0</v>
      </c>
      <c r="G14" s="75">
        <v>0.0</v>
      </c>
      <c r="H14" s="75">
        <v>0.0</v>
      </c>
      <c r="I14" s="75">
        <v>2.0</v>
      </c>
      <c r="J14" s="75">
        <v>2.0</v>
      </c>
      <c r="K14" s="75">
        <v>0.0</v>
      </c>
      <c r="L14" s="75">
        <v>1.0</v>
      </c>
      <c r="M14" s="75">
        <v>2.0</v>
      </c>
      <c r="N14" s="75">
        <v>8.0</v>
      </c>
      <c r="O14" s="75">
        <v>6.0</v>
      </c>
    </row>
    <row r="15">
      <c r="A15" s="227" t="s">
        <v>123</v>
      </c>
      <c r="B15" s="81">
        <v>11.0</v>
      </c>
      <c r="C15" s="81">
        <v>4.0</v>
      </c>
      <c r="D15" s="81">
        <v>6.0</v>
      </c>
      <c r="E15" s="225">
        <f t="shared" si="1"/>
        <v>0.4</v>
      </c>
      <c r="F15" s="81">
        <v>3.0</v>
      </c>
      <c r="G15" s="81">
        <v>0.0</v>
      </c>
      <c r="H15" s="81">
        <v>0.0</v>
      </c>
      <c r="I15" s="81">
        <v>7.0</v>
      </c>
      <c r="J15" s="81">
        <v>5.0</v>
      </c>
      <c r="K15" s="81">
        <v>2.0</v>
      </c>
      <c r="L15" s="81">
        <v>0.0</v>
      </c>
      <c r="M15" s="81">
        <v>0.0</v>
      </c>
      <c r="N15" s="81">
        <v>0.0</v>
      </c>
      <c r="O15" s="81">
        <v>24.0</v>
      </c>
    </row>
    <row r="16">
      <c r="A16" s="223" t="s">
        <v>125</v>
      </c>
      <c r="B16" s="75">
        <v>11.0</v>
      </c>
      <c r="C16" s="75">
        <v>0.0</v>
      </c>
      <c r="D16" s="75">
        <v>3.0</v>
      </c>
      <c r="E16" s="94">
        <f t="shared" si="1"/>
        <v>0</v>
      </c>
      <c r="F16" s="75">
        <v>0.0</v>
      </c>
      <c r="G16" s="75">
        <v>0.0</v>
      </c>
      <c r="H16" s="75">
        <v>0.0</v>
      </c>
      <c r="I16" s="75">
        <v>1.0</v>
      </c>
      <c r="J16" s="75">
        <v>1.0</v>
      </c>
      <c r="K16" s="75">
        <v>0.0</v>
      </c>
      <c r="L16" s="75">
        <v>0.0</v>
      </c>
      <c r="M16" s="75">
        <v>0.0</v>
      </c>
      <c r="N16" s="75">
        <v>0.0</v>
      </c>
      <c r="O16" s="75">
        <v>0.0</v>
      </c>
    </row>
    <row r="17">
      <c r="A17" s="224" t="s">
        <v>12</v>
      </c>
      <c r="B17" s="81">
        <v>9.0</v>
      </c>
      <c r="C17" s="81">
        <v>3.0</v>
      </c>
      <c r="D17" s="81">
        <v>4.0</v>
      </c>
      <c r="E17" s="225">
        <f t="shared" si="1"/>
        <v>0.4285714286</v>
      </c>
      <c r="F17" s="81">
        <v>3.0</v>
      </c>
      <c r="G17" s="81">
        <v>0.0</v>
      </c>
      <c r="H17" s="81">
        <v>0.0</v>
      </c>
      <c r="I17" s="81">
        <v>7.0</v>
      </c>
      <c r="J17" s="81">
        <v>4.0</v>
      </c>
      <c r="K17" s="81">
        <v>0.0</v>
      </c>
      <c r="L17" s="81">
        <v>0.0</v>
      </c>
      <c r="M17" s="81">
        <v>0.0</v>
      </c>
      <c r="N17" s="81">
        <v>0.0</v>
      </c>
      <c r="O17" s="81">
        <v>18.0</v>
      </c>
    </row>
    <row r="18">
      <c r="A18" s="33" t="s">
        <v>152</v>
      </c>
      <c r="B18" s="60"/>
      <c r="C18" s="136">
        <f t="shared" ref="C18:D18" si="2">SUM(C2:C17)</f>
        <v>65</v>
      </c>
      <c r="D18" s="136">
        <f t="shared" si="2"/>
        <v>112</v>
      </c>
      <c r="E18" s="226">
        <f t="shared" si="1"/>
        <v>0.3672316384</v>
      </c>
      <c r="F18" s="136">
        <f>SUM(F2:F17)</f>
        <v>43</v>
      </c>
      <c r="G18" s="134">
        <v>0.0</v>
      </c>
      <c r="H18" s="136">
        <f t="shared" ref="H18:O18" si="3">SUM(H2:H17)</f>
        <v>4</v>
      </c>
      <c r="I18" s="136">
        <f t="shared" si="3"/>
        <v>100</v>
      </c>
      <c r="J18" s="136">
        <f t="shared" si="3"/>
        <v>52</v>
      </c>
      <c r="K18" s="136">
        <f t="shared" si="3"/>
        <v>37</v>
      </c>
      <c r="L18" s="136">
        <f t="shared" si="3"/>
        <v>14</v>
      </c>
      <c r="M18" s="136">
        <f t="shared" si="3"/>
        <v>17</v>
      </c>
      <c r="N18" s="136">
        <f t="shared" si="3"/>
        <v>80</v>
      </c>
      <c r="O18" s="136">
        <f t="shared" si="3"/>
        <v>341</v>
      </c>
    </row>
  </sheetData>
  <mergeCells count="1">
    <mergeCell ref="A18:B1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5.5"/>
    <col customWidth="1" min="3" max="3" width="5.0"/>
    <col customWidth="1" min="4" max="4" width="6.75"/>
    <col customWidth="1" min="5" max="5" width="6.0"/>
    <col customWidth="1" min="6" max="6" width="4.5"/>
    <col customWidth="1" min="7" max="7" width="9.0"/>
    <col customWidth="1" min="8" max="8" width="6.38"/>
    <col customWidth="1" min="9" max="9" width="10.0"/>
    <col customWidth="1" min="10" max="10" width="7.75"/>
    <col customWidth="1" min="11" max="11" width="8.88"/>
    <col customWidth="1" min="12" max="13" width="8.5"/>
    <col customWidth="1" min="14" max="14" width="15.75"/>
    <col customWidth="1" min="15" max="15" width="10.75"/>
  </cols>
  <sheetData>
    <row r="1">
      <c r="A1" s="134" t="s">
        <v>2</v>
      </c>
      <c r="B1" s="134" t="s">
        <v>62</v>
      </c>
      <c r="C1" s="134" t="s">
        <v>34</v>
      </c>
      <c r="D1" s="134" t="s">
        <v>218</v>
      </c>
      <c r="E1" s="134" t="s">
        <v>41</v>
      </c>
      <c r="F1" s="134" t="s">
        <v>48</v>
      </c>
      <c r="G1" s="134" t="s">
        <v>49</v>
      </c>
      <c r="H1" s="134" t="s">
        <v>63</v>
      </c>
      <c r="I1" s="134" t="s">
        <v>46</v>
      </c>
      <c r="J1" s="134" t="s">
        <v>64</v>
      </c>
      <c r="K1" s="134" t="s">
        <v>65</v>
      </c>
      <c r="L1" s="134" t="s">
        <v>66</v>
      </c>
      <c r="M1" s="134" t="s">
        <v>67</v>
      </c>
      <c r="N1" s="134" t="s">
        <v>74</v>
      </c>
      <c r="O1" s="134" t="s">
        <v>52</v>
      </c>
    </row>
    <row r="2">
      <c r="A2" s="75" t="s">
        <v>78</v>
      </c>
      <c r="B2" s="75">
        <v>10.0</v>
      </c>
      <c r="C2" s="75">
        <v>2.0</v>
      </c>
      <c r="D2" s="75">
        <v>8.0</v>
      </c>
      <c r="E2" s="94">
        <f t="shared" ref="E2:E19" si="1">PRODUCT(C2,(1/(C2+D2)))</f>
        <v>0.2</v>
      </c>
      <c r="F2" s="75">
        <v>1.0</v>
      </c>
      <c r="G2" s="75">
        <v>0.0</v>
      </c>
      <c r="H2" s="75">
        <v>0.0</v>
      </c>
      <c r="I2" s="75">
        <v>2.0</v>
      </c>
      <c r="J2" s="75">
        <v>2.0</v>
      </c>
      <c r="K2" s="75">
        <v>1.0</v>
      </c>
      <c r="L2" s="75">
        <v>0.0</v>
      </c>
      <c r="M2" s="75">
        <v>1.0</v>
      </c>
      <c r="N2" s="75">
        <v>3.0</v>
      </c>
      <c r="O2" s="75">
        <v>12.0</v>
      </c>
    </row>
    <row r="3">
      <c r="A3" s="81" t="s">
        <v>86</v>
      </c>
      <c r="B3" s="81"/>
      <c r="C3" s="81">
        <v>2.0</v>
      </c>
      <c r="D3" s="81">
        <v>9.0</v>
      </c>
      <c r="E3" s="225">
        <f t="shared" si="1"/>
        <v>0.1818181818</v>
      </c>
      <c r="F3" s="81">
        <v>0.0</v>
      </c>
      <c r="G3" s="81">
        <v>0.0</v>
      </c>
      <c r="H3" s="81">
        <v>0.0</v>
      </c>
      <c r="I3" s="81">
        <v>4.0</v>
      </c>
      <c r="J3" s="81">
        <v>4.0</v>
      </c>
      <c r="K3" s="81">
        <v>4.0</v>
      </c>
      <c r="L3" s="81">
        <v>1.0</v>
      </c>
      <c r="M3" s="81">
        <v>0.0</v>
      </c>
      <c r="N3" s="81">
        <v>2.0</v>
      </c>
      <c r="O3" s="81">
        <v>6.0</v>
      </c>
    </row>
    <row r="4">
      <c r="A4" s="75" t="s">
        <v>87</v>
      </c>
      <c r="B4" s="75"/>
      <c r="C4" s="75">
        <v>4.0</v>
      </c>
      <c r="D4" s="75">
        <v>8.0</v>
      </c>
      <c r="E4" s="94">
        <f t="shared" si="1"/>
        <v>0.3333333333</v>
      </c>
      <c r="F4" s="75">
        <v>1.0</v>
      </c>
      <c r="G4" s="75">
        <v>0.0</v>
      </c>
      <c r="H4" s="75">
        <v>0.0</v>
      </c>
      <c r="I4" s="75">
        <v>8.0</v>
      </c>
      <c r="J4" s="75">
        <v>4.0</v>
      </c>
      <c r="K4" s="75">
        <v>4.0</v>
      </c>
      <c r="L4" s="75">
        <v>0.0</v>
      </c>
      <c r="M4" s="75">
        <v>1.0</v>
      </c>
      <c r="N4" s="75">
        <v>3.0</v>
      </c>
      <c r="O4" s="75">
        <v>15.0</v>
      </c>
    </row>
    <row r="5">
      <c r="A5" s="81" t="s">
        <v>95</v>
      </c>
      <c r="B5" s="81"/>
      <c r="C5" s="81">
        <v>6.0</v>
      </c>
      <c r="D5" s="81">
        <v>9.0</v>
      </c>
      <c r="E5" s="225">
        <f t="shared" si="1"/>
        <v>0.4</v>
      </c>
      <c r="F5" s="81">
        <v>4.0</v>
      </c>
      <c r="G5" s="81">
        <v>0.0</v>
      </c>
      <c r="H5" s="81">
        <v>0.0</v>
      </c>
      <c r="I5" s="81">
        <v>12.0</v>
      </c>
      <c r="J5" s="81">
        <v>6.0</v>
      </c>
      <c r="K5" s="81">
        <v>5.0</v>
      </c>
      <c r="L5" s="81">
        <v>1.0</v>
      </c>
      <c r="M5" s="81">
        <v>0.0</v>
      </c>
      <c r="N5" s="81">
        <v>2.0</v>
      </c>
      <c r="O5" s="81">
        <v>34.0</v>
      </c>
    </row>
    <row r="6">
      <c r="A6" s="75" t="s">
        <v>96</v>
      </c>
      <c r="B6" s="75"/>
      <c r="C6" s="75">
        <v>0.0</v>
      </c>
      <c r="D6" s="75">
        <v>3.0</v>
      </c>
      <c r="E6" s="94">
        <f t="shared" si="1"/>
        <v>0</v>
      </c>
      <c r="F6" s="75">
        <v>0.0</v>
      </c>
      <c r="G6" s="75">
        <v>0.0</v>
      </c>
      <c r="H6" s="75">
        <v>0.0</v>
      </c>
      <c r="I6" s="75">
        <v>1.0</v>
      </c>
      <c r="J6" s="75">
        <v>0.0</v>
      </c>
      <c r="K6" s="75">
        <v>0.0</v>
      </c>
      <c r="L6" s="75">
        <v>0.0</v>
      </c>
      <c r="M6" s="75">
        <v>0.0</v>
      </c>
      <c r="N6" s="75">
        <v>0.0</v>
      </c>
      <c r="O6" s="75">
        <v>0.0</v>
      </c>
    </row>
    <row r="7">
      <c r="A7" s="81" t="s">
        <v>97</v>
      </c>
      <c r="B7" s="81"/>
      <c r="C7" s="81">
        <v>1.0</v>
      </c>
      <c r="D7" s="81">
        <v>4.0</v>
      </c>
      <c r="E7" s="225">
        <f t="shared" si="1"/>
        <v>0.2</v>
      </c>
      <c r="F7" s="81">
        <v>1.0</v>
      </c>
      <c r="G7" s="81">
        <v>0.0</v>
      </c>
      <c r="H7" s="81">
        <v>0.0</v>
      </c>
      <c r="I7" s="81">
        <v>1.0</v>
      </c>
      <c r="J7" s="81">
        <v>3.0</v>
      </c>
      <c r="K7" s="81">
        <v>1.0</v>
      </c>
      <c r="L7" s="81">
        <v>0.0</v>
      </c>
      <c r="M7" s="81">
        <v>2.0</v>
      </c>
      <c r="N7" s="81">
        <v>6.0</v>
      </c>
      <c r="O7" s="81">
        <v>6.0</v>
      </c>
    </row>
    <row r="8">
      <c r="A8" s="75" t="s">
        <v>102</v>
      </c>
      <c r="B8" s="75"/>
      <c r="C8" s="75">
        <v>0.0</v>
      </c>
      <c r="D8" s="75">
        <v>1.0</v>
      </c>
      <c r="E8" s="94">
        <f t="shared" si="1"/>
        <v>0</v>
      </c>
      <c r="F8" s="75">
        <v>0.0</v>
      </c>
      <c r="G8" s="75">
        <v>0.0</v>
      </c>
      <c r="H8" s="75">
        <v>0.0</v>
      </c>
      <c r="I8" s="75">
        <v>2.0</v>
      </c>
      <c r="J8" s="75">
        <v>0.0</v>
      </c>
      <c r="K8" s="75">
        <v>0.0</v>
      </c>
      <c r="L8" s="75">
        <v>0.0</v>
      </c>
      <c r="M8" s="75">
        <v>0.0</v>
      </c>
      <c r="N8" s="75">
        <v>0.0</v>
      </c>
      <c r="O8" s="75">
        <v>0.0</v>
      </c>
    </row>
    <row r="9">
      <c r="A9" s="81" t="s">
        <v>105</v>
      </c>
      <c r="B9" s="81"/>
      <c r="C9" s="81">
        <v>1.0</v>
      </c>
      <c r="D9" s="81">
        <v>8.0</v>
      </c>
      <c r="E9" s="225">
        <f t="shared" si="1"/>
        <v>0.1111111111</v>
      </c>
      <c r="F9" s="81">
        <v>1.0</v>
      </c>
      <c r="G9" s="81">
        <v>0.0</v>
      </c>
      <c r="H9" s="81">
        <v>0.0</v>
      </c>
      <c r="I9" s="81">
        <v>6.0</v>
      </c>
      <c r="J9" s="81">
        <v>9.0</v>
      </c>
      <c r="K9" s="81">
        <v>1.0</v>
      </c>
      <c r="L9" s="81">
        <v>0.0</v>
      </c>
      <c r="M9" s="81">
        <v>0.0</v>
      </c>
      <c r="N9" s="81">
        <v>0.0</v>
      </c>
      <c r="O9" s="81">
        <v>6.0</v>
      </c>
    </row>
    <row r="10">
      <c r="A10" s="75" t="s">
        <v>222</v>
      </c>
      <c r="B10" s="75"/>
      <c r="C10" s="75">
        <v>1.0</v>
      </c>
      <c r="D10" s="75">
        <v>18.0</v>
      </c>
      <c r="E10" s="94">
        <f t="shared" si="1"/>
        <v>0.05263157895</v>
      </c>
      <c r="F10" s="75">
        <v>1.0</v>
      </c>
      <c r="G10" s="75">
        <v>0.0</v>
      </c>
      <c r="H10" s="75">
        <v>0.0</v>
      </c>
      <c r="I10" s="75">
        <v>8.0</v>
      </c>
      <c r="J10" s="75">
        <v>2.0</v>
      </c>
      <c r="K10" s="75">
        <v>6.0</v>
      </c>
      <c r="L10" s="75">
        <v>2.0</v>
      </c>
      <c r="M10" s="75">
        <v>0.0</v>
      </c>
      <c r="N10" s="75">
        <v>4.0</v>
      </c>
      <c r="O10" s="75">
        <v>6.0</v>
      </c>
    </row>
    <row r="11">
      <c r="A11" s="81" t="s">
        <v>108</v>
      </c>
      <c r="B11" s="81"/>
      <c r="C11" s="81">
        <v>3.0</v>
      </c>
      <c r="D11" s="81">
        <v>11.0</v>
      </c>
      <c r="E11" s="225">
        <f t="shared" si="1"/>
        <v>0.2142857143</v>
      </c>
      <c r="F11" s="81">
        <v>2.0</v>
      </c>
      <c r="G11" s="81">
        <v>0.0</v>
      </c>
      <c r="H11" s="81">
        <v>0.0</v>
      </c>
      <c r="I11" s="81">
        <v>3.0</v>
      </c>
      <c r="J11" s="81">
        <v>2.0</v>
      </c>
      <c r="K11" s="81">
        <v>2.0</v>
      </c>
      <c r="L11" s="81">
        <v>2.0</v>
      </c>
      <c r="M11" s="81">
        <v>1.0</v>
      </c>
      <c r="N11" s="81">
        <v>7.0</v>
      </c>
      <c r="O11" s="81">
        <v>15.0</v>
      </c>
    </row>
    <row r="12">
      <c r="A12" s="75" t="s">
        <v>23</v>
      </c>
      <c r="B12" s="75"/>
      <c r="C12" s="75">
        <v>3.0</v>
      </c>
      <c r="D12" s="75">
        <v>3.0</v>
      </c>
      <c r="E12" s="94">
        <f t="shared" si="1"/>
        <v>0.5</v>
      </c>
      <c r="F12" s="75">
        <v>1.0</v>
      </c>
      <c r="G12" s="75">
        <v>0.0</v>
      </c>
      <c r="H12" s="75">
        <v>0.0</v>
      </c>
      <c r="I12" s="75">
        <v>7.0</v>
      </c>
      <c r="J12" s="75">
        <v>7.0</v>
      </c>
      <c r="K12" s="75">
        <v>1.0</v>
      </c>
      <c r="L12" s="75">
        <v>0.0</v>
      </c>
      <c r="M12" s="75">
        <v>0.0</v>
      </c>
      <c r="N12" s="75">
        <v>0.0</v>
      </c>
      <c r="O12" s="75">
        <v>12.0</v>
      </c>
    </row>
    <row r="13">
      <c r="A13" s="81" t="s">
        <v>117</v>
      </c>
      <c r="B13" s="81"/>
      <c r="C13" s="81">
        <v>0.0</v>
      </c>
      <c r="D13" s="81">
        <v>1.0</v>
      </c>
      <c r="E13" s="225">
        <f t="shared" si="1"/>
        <v>0</v>
      </c>
      <c r="F13" s="81">
        <v>0.0</v>
      </c>
      <c r="G13" s="81">
        <v>0.0</v>
      </c>
      <c r="H13" s="81">
        <v>0.0</v>
      </c>
      <c r="I13" s="81">
        <v>0.0</v>
      </c>
      <c r="J13" s="81">
        <v>1.0</v>
      </c>
      <c r="K13" s="81">
        <v>1.0</v>
      </c>
      <c r="L13" s="81">
        <v>0.0</v>
      </c>
      <c r="M13" s="81">
        <v>0.0</v>
      </c>
      <c r="N13" s="81">
        <v>0.0</v>
      </c>
      <c r="O13" s="81">
        <v>0.0</v>
      </c>
    </row>
    <row r="14">
      <c r="A14" s="75" t="s">
        <v>27</v>
      </c>
      <c r="B14" s="75"/>
      <c r="C14" s="75">
        <v>0.0</v>
      </c>
      <c r="D14" s="75">
        <v>4.0</v>
      </c>
      <c r="E14" s="94">
        <f t="shared" si="1"/>
        <v>0</v>
      </c>
      <c r="F14" s="75">
        <v>0.0</v>
      </c>
      <c r="G14" s="75">
        <v>0.0</v>
      </c>
      <c r="H14" s="75">
        <v>0.0</v>
      </c>
      <c r="I14" s="75">
        <v>0.0</v>
      </c>
      <c r="J14" s="75">
        <v>1.0</v>
      </c>
      <c r="K14" s="75">
        <v>0.0</v>
      </c>
      <c r="L14" s="75">
        <v>0.0</v>
      </c>
      <c r="M14" s="75">
        <v>0.0</v>
      </c>
      <c r="N14" s="75">
        <v>0.0</v>
      </c>
      <c r="O14" s="75">
        <v>0.0</v>
      </c>
    </row>
    <row r="15">
      <c r="A15" s="81" t="s">
        <v>123</v>
      </c>
      <c r="B15" s="81">
        <v>10.0</v>
      </c>
      <c r="C15" s="81">
        <v>0.0</v>
      </c>
      <c r="D15" s="81">
        <v>3.0</v>
      </c>
      <c r="E15" s="225">
        <f t="shared" si="1"/>
        <v>0</v>
      </c>
      <c r="F15" s="81">
        <v>0.0</v>
      </c>
      <c r="G15" s="81">
        <v>0.0</v>
      </c>
      <c r="H15" s="81">
        <v>0.0</v>
      </c>
      <c r="I15" s="81">
        <v>0.0</v>
      </c>
      <c r="J15" s="81">
        <v>0.0</v>
      </c>
      <c r="K15" s="81">
        <v>1.0</v>
      </c>
      <c r="L15" s="81">
        <v>0.0</v>
      </c>
      <c r="M15" s="81">
        <v>0.0</v>
      </c>
      <c r="N15" s="81">
        <v>0.0</v>
      </c>
      <c r="O15" s="81">
        <v>0.0</v>
      </c>
    </row>
    <row r="16">
      <c r="A16" s="75" t="s">
        <v>128</v>
      </c>
      <c r="B16" s="75"/>
      <c r="C16" s="75">
        <v>1.0</v>
      </c>
      <c r="D16" s="75">
        <v>7.0</v>
      </c>
      <c r="E16" s="94">
        <f t="shared" si="1"/>
        <v>0.125</v>
      </c>
      <c r="F16" s="75">
        <v>0.0</v>
      </c>
      <c r="G16" s="75">
        <v>0.0</v>
      </c>
      <c r="H16" s="75">
        <v>0.0</v>
      </c>
      <c r="I16" s="75">
        <v>4.0</v>
      </c>
      <c r="J16" s="75">
        <v>6.0</v>
      </c>
      <c r="K16" s="75">
        <v>0.0</v>
      </c>
      <c r="L16" s="75">
        <v>0.0</v>
      </c>
      <c r="M16" s="75">
        <v>0.0</v>
      </c>
      <c r="N16" s="75">
        <v>0.0</v>
      </c>
      <c r="O16" s="75">
        <v>6.0</v>
      </c>
    </row>
    <row r="17">
      <c r="A17" s="81" t="s">
        <v>130</v>
      </c>
      <c r="B17" s="81"/>
      <c r="C17" s="81">
        <v>8.0</v>
      </c>
      <c r="D17" s="81">
        <v>1.0</v>
      </c>
      <c r="E17" s="225">
        <f t="shared" si="1"/>
        <v>0.8888888889</v>
      </c>
      <c r="F17" s="81">
        <v>5.0</v>
      </c>
      <c r="G17" s="81">
        <v>0.0</v>
      </c>
      <c r="H17" s="81">
        <v>0.0</v>
      </c>
      <c r="I17" s="81">
        <v>11.0</v>
      </c>
      <c r="J17" s="81">
        <v>5.0</v>
      </c>
      <c r="K17" s="81">
        <v>2.0</v>
      </c>
      <c r="L17" s="81">
        <v>1.0</v>
      </c>
      <c r="M17" s="81">
        <v>4.0</v>
      </c>
      <c r="N17" s="81">
        <v>13.0</v>
      </c>
      <c r="O17" s="81">
        <v>43.0</v>
      </c>
    </row>
    <row r="18">
      <c r="A18" s="75" t="s">
        <v>133</v>
      </c>
      <c r="B18" s="75"/>
      <c r="C18" s="75">
        <v>7.0</v>
      </c>
      <c r="D18" s="75">
        <v>3.0</v>
      </c>
      <c r="E18" s="94">
        <f t="shared" si="1"/>
        <v>0.7</v>
      </c>
      <c r="F18" s="75">
        <v>6.0</v>
      </c>
      <c r="G18" s="75">
        <v>0.0</v>
      </c>
      <c r="H18" s="75">
        <v>1.0</v>
      </c>
      <c r="I18" s="75">
        <v>11.0</v>
      </c>
      <c r="J18" s="75">
        <v>1.0</v>
      </c>
      <c r="K18" s="75">
        <v>2.0</v>
      </c>
      <c r="L18" s="75">
        <v>1.0</v>
      </c>
      <c r="M18" s="75">
        <v>3.0</v>
      </c>
      <c r="N18" s="75">
        <v>11.0</v>
      </c>
      <c r="O18" s="75">
        <v>39.0</v>
      </c>
    </row>
    <row r="19">
      <c r="A19" s="33" t="s">
        <v>152</v>
      </c>
      <c r="B19" s="20"/>
      <c r="C19" s="136">
        <f t="shared" ref="C19:D19" si="2">SUM(C2:C17,C18)</f>
        <v>39</v>
      </c>
      <c r="D19" s="136">
        <f t="shared" si="2"/>
        <v>101</v>
      </c>
      <c r="E19" s="226">
        <f t="shared" si="1"/>
        <v>0.2785714286</v>
      </c>
      <c r="F19" s="136">
        <f t="shared" ref="F19:O19" si="3">SUM(F2:F17,F18)</f>
        <v>23</v>
      </c>
      <c r="G19" s="136">
        <f t="shared" si="3"/>
        <v>0</v>
      </c>
      <c r="H19" s="136">
        <f t="shared" si="3"/>
        <v>1</v>
      </c>
      <c r="I19" s="136">
        <f t="shared" si="3"/>
        <v>80</v>
      </c>
      <c r="J19" s="136">
        <f t="shared" si="3"/>
        <v>53</v>
      </c>
      <c r="K19" s="136">
        <f t="shared" si="3"/>
        <v>31</v>
      </c>
      <c r="L19" s="136">
        <f t="shared" si="3"/>
        <v>8</v>
      </c>
      <c r="M19" s="136">
        <f t="shared" si="3"/>
        <v>12</v>
      </c>
      <c r="N19" s="136">
        <f t="shared" si="3"/>
        <v>51</v>
      </c>
      <c r="O19" s="136">
        <f t="shared" si="3"/>
        <v>200</v>
      </c>
    </row>
  </sheetData>
  <mergeCells count="1">
    <mergeCell ref="A19:B19"/>
  </mergeCells>
  <drawing r:id="rId1"/>
</worksheet>
</file>